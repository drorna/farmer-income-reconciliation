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  <sheet name="פברואר" sheetId="3" state="visible" r:id="rId3"/>
    <sheet name="מר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מרץ 2026 – אשכול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שעות/עובד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14</v>
      </c>
      <c r="C4" s="8" t="n">
        <v>17</v>
      </c>
      <c r="D4" s="9" t="n">
        <v>28.35714285714286</v>
      </c>
      <c r="E4" s="10" t="n">
        <v>40.5</v>
      </c>
      <c r="F4" s="9" t="n">
        <v>4.266401206867551</v>
      </c>
      <c r="G4" s="10" t="n">
        <v>5</v>
      </c>
      <c r="H4" s="7" t="n">
        <v>51185.53333423532</v>
      </c>
      <c r="I4" s="8" t="n">
        <v>103275</v>
      </c>
      <c r="J4" s="11" t="n">
        <v>30.2989555434702</v>
      </c>
      <c r="K4" s="12" t="n">
        <v>30</v>
      </c>
    </row>
    <row r="5">
      <c r="A5" s="6" t="inlineStr">
        <is>
          <t>פברואר</t>
        </is>
      </c>
      <c r="B5" s="7" t="n">
        <v>14</v>
      </c>
      <c r="C5" s="8" t="n">
        <v>14</v>
      </c>
      <c r="D5" s="9" t="n">
        <v>31.42857142857143</v>
      </c>
      <c r="E5" s="10" t="n">
        <v>40.5</v>
      </c>
      <c r="F5" s="9" t="n">
        <v>4.317655252929781</v>
      </c>
      <c r="G5" s="10" t="n">
        <v>5</v>
      </c>
      <c r="H5" s="7" t="n">
        <v>56625.5000009638</v>
      </c>
      <c r="I5" s="8" t="n">
        <v>85050</v>
      </c>
      <c r="J5" s="11" t="n">
        <v>30</v>
      </c>
      <c r="K5" s="12" t="n">
        <v>30</v>
      </c>
    </row>
    <row r="6">
      <c r="A6" s="6" t="inlineStr">
        <is>
          <t>מרץ</t>
        </is>
      </c>
      <c r="B6" s="7" t="n">
        <v>8</v>
      </c>
      <c r="C6" s="8" t="n">
        <v>8</v>
      </c>
      <c r="D6" s="9" t="n">
        <v>10.625</v>
      </c>
      <c r="E6" s="10" t="n">
        <v>40.5</v>
      </c>
      <c r="F6" s="9" t="n">
        <v>6.276203541504191</v>
      </c>
      <c r="G6" s="10" t="n">
        <v>5</v>
      </c>
      <c r="H6" s="7" t="n">
        <v>16217.49999955238</v>
      </c>
      <c r="I6" s="8" t="n">
        <v>51840</v>
      </c>
      <c r="J6" s="11" t="n">
        <v>30</v>
      </c>
      <c r="K6" s="12" t="n">
        <v>32</v>
      </c>
    </row>
    <row r="9" ht="22" customHeight="1">
      <c r="A9" s="13" t="inlineStr">
        <is>
          <t>סיכום מצטבר מינואר עד מרץ</t>
        </is>
      </c>
    </row>
    <row r="10" ht="36" customHeight="1">
      <c r="A10" s="14" t="inlineStr"/>
      <c r="B10" s="3" t="inlineStr">
        <is>
          <t>ימי עבודה</t>
        </is>
      </c>
      <c r="C10" s="3" t="inlineStr">
        <is>
          <t>ממוצע עובדים/יום</t>
        </is>
      </c>
      <c r="D10" s="3" t="inlineStr">
        <is>
          <t>ממוצע שעות/יום</t>
        </is>
      </c>
      <c r="E10" s="3" t="inlineStr">
        <is>
          <t>שעות/עובד</t>
        </is>
      </c>
      <c r="F10" s="3" t="inlineStr">
        <is>
          <t>הכנסה (₪)</t>
        </is>
      </c>
      <c r="G10" s="3" t="inlineStr">
        <is>
          <t>תעריף ממוצע בפועל (₪/ש)</t>
        </is>
      </c>
    </row>
    <row r="11">
      <c r="A11" s="15" t="inlineStr">
        <is>
          <t>ביצוע</t>
        </is>
      </c>
      <c r="B11" s="16" t="n">
        <v>36</v>
      </c>
      <c r="C11" s="17" t="n">
        <v>25.61111111111111</v>
      </c>
      <c r="D11" s="17" t="n">
        <v>114.3736044986676</v>
      </c>
      <c r="E11" s="17" t="n">
        <v>4.732956076922116</v>
      </c>
      <c r="F11" s="16" t="n">
        <v>124028.5333347515</v>
      </c>
      <c r="G11" s="18" t="n">
        <v>30.12265856425436</v>
      </c>
    </row>
    <row r="12">
      <c r="A12" s="19" t="inlineStr">
        <is>
          <t>תקציב</t>
        </is>
      </c>
      <c r="B12" s="20" t="n">
        <v>39</v>
      </c>
      <c r="C12" s="21" t="n">
        <v>40.5</v>
      </c>
      <c r="D12" s="21" t="n">
        <v>202.5</v>
      </c>
      <c r="E12" s="21" t="n">
        <v>5</v>
      </c>
      <c r="F12" s="20" t="n">
        <v>240165</v>
      </c>
      <c r="G12" s="22" t="n">
        <v>30.41025641025641</v>
      </c>
    </row>
    <row r="14">
      <c r="A14" s="23" t="inlineStr">
        <is>
          <t>פער</t>
        </is>
      </c>
      <c r="B14" s="24">
        <f>B11-B12</f>
        <v/>
      </c>
      <c r="C14" s="25">
        <f>C11-C12</f>
        <v/>
      </c>
      <c r="D14" s="25">
        <f>D11-D12</f>
        <v/>
      </c>
      <c r="E14" s="25">
        <f>E11-E12</f>
        <v/>
      </c>
      <c r="F14" s="24">
        <f>F11-F12</f>
        <v/>
      </c>
      <c r="G14" s="26">
        <f>G11-G12</f>
        <v/>
      </c>
    </row>
    <row r="15">
      <c r="A15" s="23" t="inlineStr">
        <is>
          <t>% פער</t>
        </is>
      </c>
      <c r="B15" s="27">
        <f>IF(B12=0,"",(B11-B12)/B12)</f>
        <v/>
      </c>
      <c r="C15" s="27">
        <f>IF(C12=0,"",(C11-C12)/C12)</f>
        <v/>
      </c>
      <c r="D15" s="27">
        <f>IF(D12=0,"",(D11-D12)/D12)</f>
        <v/>
      </c>
      <c r="E15" s="27">
        <f>IF(E12=0,"",(E11-E12)/E12)</f>
        <v/>
      </c>
      <c r="F15" s="27">
        <f>IF(F12=0,"",(F11-F12)/F12)</f>
        <v/>
      </c>
      <c r="G15" s="27">
        <f>IF(G12=0,"",(G11-G12)/G12)</f>
        <v/>
      </c>
    </row>
  </sheetData>
  <mergeCells count="8">
    <mergeCell ref="F2:G2"/>
    <mergeCell ref="B2:C2"/>
    <mergeCell ref="H2:I2"/>
    <mergeCell ref="D2:E2"/>
    <mergeCell ref="A9:G9"/>
    <mergeCell ref="J2:K2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אשכול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06-ינו</t>
        </is>
      </c>
      <c r="B3" s="29" t="n">
        <v>30</v>
      </c>
      <c r="C3" s="30" t="n">
        <v>120.7499999886883</v>
      </c>
      <c r="D3" s="30" t="n">
        <v>4.024999999622944</v>
      </c>
      <c r="E3" s="29" t="n">
        <v>3622.499999660649</v>
      </c>
      <c r="F3" s="31" t="n">
        <v>30</v>
      </c>
    </row>
    <row r="4">
      <c r="A4" s="32" t="inlineStr">
        <is>
          <t>07-ינו</t>
        </is>
      </c>
      <c r="B4" s="33" t="n">
        <v>26</v>
      </c>
      <c r="C4" s="34" t="n">
        <v>107.250000008964</v>
      </c>
      <c r="D4" s="34" t="n">
        <v>4.125000000344769</v>
      </c>
      <c r="E4" s="33" t="n">
        <v>3217.500000268919</v>
      </c>
      <c r="F4" s="35" t="n">
        <v>30</v>
      </c>
    </row>
    <row r="5">
      <c r="A5" s="28" t="inlineStr">
        <is>
          <t>08-ינו</t>
        </is>
      </c>
      <c r="B5" s="29" t="n">
        <v>28</v>
      </c>
      <c r="C5" s="30" t="n">
        <v>124.5000000032596</v>
      </c>
      <c r="D5" s="30" t="n">
        <v>4.446428571544986</v>
      </c>
      <c r="E5" s="29" t="n">
        <v>3735.000000097789</v>
      </c>
      <c r="F5" s="31" t="n">
        <v>30</v>
      </c>
    </row>
    <row r="6">
      <c r="A6" s="32" t="inlineStr">
        <is>
          <t>12-ינו</t>
        </is>
      </c>
      <c r="B6" s="33" t="n">
        <v>29</v>
      </c>
      <c r="C6" s="34" t="n">
        <v>122.833333335293</v>
      </c>
      <c r="D6" s="34" t="n">
        <v>4.23563218397562</v>
      </c>
      <c r="E6" s="33" t="n">
        <v>3685.00000005879</v>
      </c>
      <c r="F6" s="35" t="n">
        <v>30</v>
      </c>
    </row>
    <row r="7">
      <c r="A7" s="28" t="inlineStr">
        <is>
          <t>14-ינו</t>
        </is>
      </c>
      <c r="B7" s="29" t="n">
        <v>27</v>
      </c>
      <c r="C7" s="30" t="n">
        <v>122.5833333479241</v>
      </c>
      <c r="D7" s="30" t="n">
        <v>4.540123457330521</v>
      </c>
      <c r="E7" s="29" t="n">
        <v>3677.500000437722</v>
      </c>
      <c r="F7" s="31" t="n">
        <v>30</v>
      </c>
    </row>
    <row r="8">
      <c r="A8" s="32" t="inlineStr">
        <is>
          <t>15-ינו</t>
        </is>
      </c>
      <c r="B8" s="33" t="n">
        <v>23</v>
      </c>
      <c r="C8" s="34" t="n">
        <v>105.2833333419791</v>
      </c>
      <c r="D8" s="34" t="n">
        <v>4.577536232259962</v>
      </c>
      <c r="E8" s="33" t="n">
        <v>3158.500000259373</v>
      </c>
      <c r="F8" s="35" t="n">
        <v>30</v>
      </c>
    </row>
    <row r="9">
      <c r="A9" s="28" t="inlineStr">
        <is>
          <t>19-ינו</t>
        </is>
      </c>
      <c r="B9" s="29" t="n">
        <v>27</v>
      </c>
      <c r="C9" s="30" t="n">
        <v>119.2500000030074</v>
      </c>
      <c r="D9" s="30" t="n">
        <v>4.416666666778052</v>
      </c>
      <c r="E9" s="29" t="n">
        <v>3577.500000090222</v>
      </c>
      <c r="F9" s="31" t="n">
        <v>30</v>
      </c>
    </row>
    <row r="10">
      <c r="A10" s="32" t="inlineStr">
        <is>
          <t>20-ינו</t>
        </is>
      </c>
      <c r="B10" s="33" t="n">
        <v>46</v>
      </c>
      <c r="C10" s="34" t="n">
        <v>199.1666666513775</v>
      </c>
      <c r="D10" s="34" t="n">
        <v>4.329710144595162</v>
      </c>
      <c r="E10" s="33" t="n">
        <v>5974.999999541324</v>
      </c>
      <c r="F10" s="35" t="n">
        <v>30</v>
      </c>
    </row>
    <row r="11">
      <c r="A11" s="28" t="inlineStr">
        <is>
          <t>21-ינו</t>
        </is>
      </c>
      <c r="B11" s="29" t="n">
        <v>33</v>
      </c>
      <c r="C11" s="30" t="n">
        <v>159.0999999954792</v>
      </c>
      <c r="D11" s="30" t="n">
        <v>4.821212121075128</v>
      </c>
      <c r="E11" s="29" t="n">
        <v>4772.999999864376</v>
      </c>
      <c r="F11" s="31" t="n">
        <v>30</v>
      </c>
    </row>
    <row r="12">
      <c r="A12" s="32" t="inlineStr">
        <is>
          <t>22-ינו</t>
        </is>
      </c>
      <c r="B12" s="33" t="n">
        <v>37</v>
      </c>
      <c r="C12" s="34" t="n">
        <v>152.6000000102833</v>
      </c>
      <c r="D12" s="34" t="n">
        <v>4.124324324602252</v>
      </c>
      <c r="E12" s="33" t="n">
        <v>4578.000000308501</v>
      </c>
      <c r="F12" s="35" t="n">
        <v>30</v>
      </c>
    </row>
    <row r="13">
      <c r="A13" s="28" t="inlineStr">
        <is>
          <t>05-ינו</t>
        </is>
      </c>
      <c r="B13" s="29" t="n">
        <v>17</v>
      </c>
      <c r="C13" s="30" t="n">
        <v>75.16666667774552</v>
      </c>
      <c r="D13" s="30" t="n">
        <v>4.421568628102678</v>
      </c>
      <c r="E13" s="29" t="n">
        <v>2255.000000332366</v>
      </c>
      <c r="F13" s="31" t="n">
        <v>30</v>
      </c>
    </row>
    <row r="14">
      <c r="A14" s="32" t="inlineStr">
        <is>
          <t>13-ינו</t>
        </is>
      </c>
      <c r="B14" s="33" t="n">
        <v>24</v>
      </c>
      <c r="C14" s="34" t="n">
        <v>74.49999999400461</v>
      </c>
      <c r="D14" s="34" t="n">
        <v>3.104166666416859</v>
      </c>
      <c r="E14" s="33" t="n">
        <v>2234.999999820138</v>
      </c>
      <c r="F14" s="35" t="n">
        <v>30</v>
      </c>
    </row>
    <row r="15">
      <c r="A15" s="28" t="inlineStr">
        <is>
          <t>29-ינו</t>
        </is>
      </c>
      <c r="B15" s="29" t="n">
        <v>34</v>
      </c>
      <c r="C15" s="30" t="n">
        <v>131.0330952380953</v>
      </c>
      <c r="D15" s="30" t="n">
        <v>3.853914565826331</v>
      </c>
      <c r="E15" s="29" t="n">
        <v>4436.033333333333</v>
      </c>
      <c r="F15" s="31" t="n">
        <v>33.85429707870966</v>
      </c>
    </row>
    <row r="16">
      <c r="A16" s="32" t="inlineStr">
        <is>
          <t>01-ינו</t>
        </is>
      </c>
      <c r="B16" s="33" t="n">
        <v>16</v>
      </c>
      <c r="C16" s="34" t="n">
        <v>75.33333333872724</v>
      </c>
      <c r="D16" s="34" t="n">
        <v>4.708333333670453</v>
      </c>
      <c r="E16" s="33" t="n">
        <v>2260.000000161817</v>
      </c>
      <c r="F16" s="35" t="n">
        <v>30</v>
      </c>
    </row>
    <row r="19" ht="18" customHeight="1">
      <c r="A19" s="13" t="inlineStr">
        <is>
          <t>סיכום חודשי</t>
        </is>
      </c>
    </row>
    <row r="20" ht="32" customHeight="1">
      <c r="A20" s="36" t="inlineStr"/>
      <c r="B20" s="3" t="inlineStr">
        <is>
          <t>ימי עבודה</t>
        </is>
      </c>
      <c r="C20" s="3" t="inlineStr">
        <is>
          <t>ממוצע עובדים/יום</t>
        </is>
      </c>
      <c r="D20" s="3" t="inlineStr">
        <is>
          <t>ממוצע שעות/יום</t>
        </is>
      </c>
      <c r="E20" s="3" t="inlineStr">
        <is>
          <t>שעות/עובד</t>
        </is>
      </c>
      <c r="F20" s="3" t="inlineStr">
        <is>
          <t>הכנסה (₪)</t>
        </is>
      </c>
      <c r="G20" s="3" t="inlineStr">
        <is>
          <t>תעריף ממוצע בפועל (₪/ש)</t>
        </is>
      </c>
    </row>
    <row r="21">
      <c r="A21" s="15" t="inlineStr">
        <is>
          <t>ביצוע</t>
        </is>
      </c>
      <c r="B21" s="16" t="n">
        <v>14</v>
      </c>
      <c r="C21" s="17" t="n">
        <v>28.35714285714286</v>
      </c>
      <c r="D21" s="17" t="n">
        <v>120.667840138202</v>
      </c>
      <c r="E21" s="17" t="n">
        <v>4.266401206867551</v>
      </c>
      <c r="F21" s="16" t="n">
        <v>51185.53333423532</v>
      </c>
      <c r="G21" s="18" t="n">
        <v>30.2989555434702</v>
      </c>
    </row>
    <row r="22">
      <c r="A22" s="19" t="inlineStr">
        <is>
          <t>תקציב</t>
        </is>
      </c>
      <c r="B22" s="20" t="n">
        <v>17</v>
      </c>
      <c r="C22" s="21" t="n">
        <v>40.5</v>
      </c>
      <c r="D22" s="21" t="n">
        <v>202.5</v>
      </c>
      <c r="E22" s="21" t="n">
        <v>5</v>
      </c>
      <c r="F22" s="20" t="n">
        <v>103275</v>
      </c>
      <c r="G22" s="22" t="n">
        <v>30</v>
      </c>
    </row>
    <row r="24">
      <c r="A24" s="23" t="inlineStr">
        <is>
          <t>פער</t>
        </is>
      </c>
      <c r="B24" s="24">
        <f>B21-B22</f>
        <v/>
      </c>
      <c r="C24" s="25">
        <f>C21-C22</f>
        <v/>
      </c>
      <c r="D24" s="25">
        <f>D21-D22</f>
        <v/>
      </c>
      <c r="E24" s="25">
        <f>E21-E22</f>
        <v/>
      </c>
      <c r="F24" s="24">
        <f>F21-F22</f>
        <v/>
      </c>
      <c r="G24" s="26">
        <f>G21-G22</f>
        <v/>
      </c>
    </row>
    <row r="25">
      <c r="A25" s="23" t="inlineStr">
        <is>
          <t>% פער</t>
        </is>
      </c>
      <c r="B25" s="27">
        <f>IF(B22=0,"",(B21-B22)/B22)</f>
        <v/>
      </c>
      <c r="C25" s="27">
        <f>IF(C22=0,"",(C21-C22)/C22)</f>
        <v/>
      </c>
      <c r="D25" s="27">
        <f>IF(D22=0,"",(D21-D22)/D22)</f>
        <v/>
      </c>
      <c r="E25" s="27">
        <f>IF(E22=0,"",(E21-E22)/E22)</f>
        <v/>
      </c>
      <c r="F25" s="27">
        <f>IF(F22=0,"",(F21-F22)/F22)</f>
        <v/>
      </c>
      <c r="G25" s="27">
        <f>IF(G22=0,"",(G21-G22)/G22)</f>
        <v/>
      </c>
    </row>
  </sheetData>
  <mergeCells count="2">
    <mergeCell ref="A19:G19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אשכול – פברואר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11-פבר</t>
        </is>
      </c>
      <c r="B3" s="29" t="n">
        <v>31</v>
      </c>
      <c r="C3" s="30" t="n">
        <v>130.6833333354443</v>
      </c>
      <c r="D3" s="30" t="n">
        <v>4.215591397917559</v>
      </c>
      <c r="E3" s="29" t="n">
        <v>3920.50000006333</v>
      </c>
      <c r="F3" s="31" t="n">
        <v>30</v>
      </c>
    </row>
    <row r="4">
      <c r="A4" s="32" t="inlineStr">
        <is>
          <t>12-פבר</t>
        </is>
      </c>
      <c r="B4" s="33" t="n">
        <v>30</v>
      </c>
      <c r="C4" s="34" t="n">
        <v>136.5166666719597</v>
      </c>
      <c r="D4" s="34" t="n">
        <v>4.550555555731989</v>
      </c>
      <c r="E4" s="33" t="n">
        <v>4095.50000015879</v>
      </c>
      <c r="F4" s="35" t="n">
        <v>30</v>
      </c>
    </row>
    <row r="5">
      <c r="A5" s="28" t="inlineStr">
        <is>
          <t>17-פבר</t>
        </is>
      </c>
      <c r="B5" s="29" t="n">
        <v>38</v>
      </c>
      <c r="C5" s="30" t="n">
        <v>176.0500000282191</v>
      </c>
      <c r="D5" s="30" t="n">
        <v>4.632894737584713</v>
      </c>
      <c r="E5" s="29" t="n">
        <v>5281.500000846572</v>
      </c>
      <c r="F5" s="31" t="n">
        <v>30</v>
      </c>
    </row>
    <row r="6">
      <c r="A6" s="32" t="inlineStr">
        <is>
          <t>25-פבר</t>
        </is>
      </c>
      <c r="B6" s="33" t="n">
        <v>34</v>
      </c>
      <c r="C6" s="34" t="n">
        <v>162.5000000125729</v>
      </c>
      <c r="D6" s="34" t="n">
        <v>4.779411765075672</v>
      </c>
      <c r="E6" s="33" t="n">
        <v>4875.000000377186</v>
      </c>
      <c r="F6" s="35" t="n">
        <v>30</v>
      </c>
    </row>
    <row r="7">
      <c r="A7" s="28" t="inlineStr">
        <is>
          <t>09-פבר</t>
        </is>
      </c>
      <c r="B7" s="29" t="n">
        <v>28</v>
      </c>
      <c r="C7" s="30" t="n">
        <v>131.5333333319286</v>
      </c>
      <c r="D7" s="30" t="n">
        <v>4.697619047568878</v>
      </c>
      <c r="E7" s="29" t="n">
        <v>3945.999999957858</v>
      </c>
      <c r="F7" s="31" t="n">
        <v>30</v>
      </c>
    </row>
    <row r="8">
      <c r="A8" s="32" t="inlineStr">
        <is>
          <t>10-פבר</t>
        </is>
      </c>
      <c r="B8" s="33" t="n">
        <v>34</v>
      </c>
      <c r="C8" s="34" t="n">
        <v>161.499999986263</v>
      </c>
      <c r="D8" s="34" t="n">
        <v>4.74999999959597</v>
      </c>
      <c r="E8" s="33" t="n">
        <v>4844.99999958789</v>
      </c>
      <c r="F8" s="35" t="n">
        <v>30</v>
      </c>
    </row>
    <row r="9">
      <c r="A9" s="28" t="inlineStr">
        <is>
          <t>16-פבר</t>
        </is>
      </c>
      <c r="B9" s="29" t="n">
        <v>22</v>
      </c>
      <c r="C9" s="30" t="n">
        <v>105.8166666708421</v>
      </c>
      <c r="D9" s="30" t="n">
        <v>4.809848485038277</v>
      </c>
      <c r="E9" s="29" t="n">
        <v>3174.500000125263</v>
      </c>
      <c r="F9" s="31" t="n">
        <v>30</v>
      </c>
    </row>
    <row r="10">
      <c r="A10" s="32" t="inlineStr">
        <is>
          <t>23-פבר</t>
        </is>
      </c>
      <c r="B10" s="33" t="n">
        <v>27</v>
      </c>
      <c r="C10" s="34" t="n">
        <v>122.1666666381061</v>
      </c>
      <c r="D10" s="34" t="n">
        <v>4.524691356966893</v>
      </c>
      <c r="E10" s="33" t="n">
        <v>3664.999999143183</v>
      </c>
      <c r="F10" s="35" t="n">
        <v>30</v>
      </c>
    </row>
    <row r="11">
      <c r="A11" s="28" t="inlineStr">
        <is>
          <t>24-פבר</t>
        </is>
      </c>
      <c r="B11" s="29" t="n">
        <v>28</v>
      </c>
      <c r="C11" s="30" t="n">
        <v>87.83333333930932</v>
      </c>
      <c r="D11" s="30" t="n">
        <v>3.13690476211819</v>
      </c>
      <c r="E11" s="29" t="n">
        <v>2635.00000017928</v>
      </c>
      <c r="F11" s="31" t="n">
        <v>30</v>
      </c>
    </row>
    <row r="12">
      <c r="A12" s="32" t="inlineStr">
        <is>
          <t>26-פבר</t>
        </is>
      </c>
      <c r="B12" s="33" t="n">
        <v>30</v>
      </c>
      <c r="C12" s="34" t="n">
        <v>135.2166666935664</v>
      </c>
      <c r="D12" s="34" t="n">
        <v>4.507222223118879</v>
      </c>
      <c r="E12" s="33" t="n">
        <v>4056.500000806991</v>
      </c>
      <c r="F12" s="35" t="n">
        <v>30</v>
      </c>
    </row>
    <row r="13">
      <c r="A13" s="28" t="inlineStr">
        <is>
          <t>02-פבר</t>
        </is>
      </c>
      <c r="B13" s="29" t="n">
        <v>24</v>
      </c>
      <c r="C13" s="30" t="n">
        <v>110.250000001397</v>
      </c>
      <c r="D13" s="30" t="n">
        <v>4.593750000058208</v>
      </c>
      <c r="E13" s="29" t="n">
        <v>3307.50000004191</v>
      </c>
      <c r="F13" s="31" t="n">
        <v>30</v>
      </c>
    </row>
    <row r="14">
      <c r="A14" s="32" t="inlineStr">
        <is>
          <t>03-פבר</t>
        </is>
      </c>
      <c r="B14" s="33" t="n">
        <v>38</v>
      </c>
      <c r="C14" s="34" t="n">
        <v>141.4166666747187</v>
      </c>
      <c r="D14" s="34" t="n">
        <v>3.721491228282072</v>
      </c>
      <c r="E14" s="33" t="n">
        <v>4242.500000241562</v>
      </c>
      <c r="F14" s="35" t="n">
        <v>30</v>
      </c>
    </row>
    <row r="15">
      <c r="A15" s="28" t="inlineStr">
        <is>
          <t>04-פבר</t>
        </is>
      </c>
      <c r="B15" s="29" t="n">
        <v>38</v>
      </c>
      <c r="C15" s="30" t="n">
        <v>165.7500000045984</v>
      </c>
      <c r="D15" s="30" t="n">
        <v>4.361842105384168</v>
      </c>
      <c r="E15" s="29" t="n">
        <v>4972.500000137952</v>
      </c>
      <c r="F15" s="31" t="n">
        <v>30</v>
      </c>
    </row>
    <row r="16">
      <c r="A16" s="32" t="inlineStr">
        <is>
          <t>05-פבר</t>
        </is>
      </c>
      <c r="B16" s="33" t="n">
        <v>38</v>
      </c>
      <c r="C16" s="34" t="n">
        <v>120.2833333098679</v>
      </c>
      <c r="D16" s="34" t="n">
        <v>3.165350876575471</v>
      </c>
      <c r="E16" s="33" t="n">
        <v>3608.499999296037</v>
      </c>
      <c r="F16" s="35" t="n">
        <v>30</v>
      </c>
    </row>
    <row r="19" ht="18" customHeight="1">
      <c r="A19" s="13" t="inlineStr">
        <is>
          <t>סיכום חודשי</t>
        </is>
      </c>
    </row>
    <row r="20" ht="32" customHeight="1">
      <c r="A20" s="36" t="inlineStr"/>
      <c r="B20" s="3" t="inlineStr">
        <is>
          <t>ימי עבודה</t>
        </is>
      </c>
      <c r="C20" s="3" t="inlineStr">
        <is>
          <t>ממוצע עובדים/יום</t>
        </is>
      </c>
      <c r="D20" s="3" t="inlineStr">
        <is>
          <t>ממוצע שעות/יום</t>
        </is>
      </c>
      <c r="E20" s="3" t="inlineStr">
        <is>
          <t>שעות/עובד</t>
        </is>
      </c>
      <c r="F20" s="3" t="inlineStr">
        <is>
          <t>הכנסה (₪)</t>
        </is>
      </c>
      <c r="G20" s="3" t="inlineStr">
        <is>
          <t>תעריף ממוצע בפועל (₪/ש)</t>
        </is>
      </c>
    </row>
    <row r="21">
      <c r="A21" s="15" t="inlineStr">
        <is>
          <t>ביצוע</t>
        </is>
      </c>
      <c r="B21" s="16" t="n">
        <v>14</v>
      </c>
      <c r="C21" s="17" t="n">
        <v>31.42857142857143</v>
      </c>
      <c r="D21" s="17" t="n">
        <v>134.8226190499138</v>
      </c>
      <c r="E21" s="17" t="n">
        <v>4.317655252929781</v>
      </c>
      <c r="F21" s="16" t="n">
        <v>56625.5000009638</v>
      </c>
      <c r="G21" s="18" t="n">
        <v>30</v>
      </c>
    </row>
    <row r="22">
      <c r="A22" s="19" t="inlineStr">
        <is>
          <t>תקציב</t>
        </is>
      </c>
      <c r="B22" s="20" t="n">
        <v>14</v>
      </c>
      <c r="C22" s="21" t="n">
        <v>40.5</v>
      </c>
      <c r="D22" s="21" t="n">
        <v>202.5</v>
      </c>
      <c r="E22" s="21" t="n">
        <v>5</v>
      </c>
      <c r="F22" s="20" t="n">
        <v>85050</v>
      </c>
      <c r="G22" s="22" t="n">
        <v>30</v>
      </c>
    </row>
    <row r="24">
      <c r="A24" s="23" t="inlineStr">
        <is>
          <t>פער</t>
        </is>
      </c>
      <c r="B24" s="24">
        <f>B21-B22</f>
        <v/>
      </c>
      <c r="C24" s="25">
        <f>C21-C22</f>
        <v/>
      </c>
      <c r="D24" s="25">
        <f>D21-D22</f>
        <v/>
      </c>
      <c r="E24" s="25">
        <f>E21-E22</f>
        <v/>
      </c>
      <c r="F24" s="24">
        <f>F21-F22</f>
        <v/>
      </c>
      <c r="G24" s="26">
        <f>G21-G22</f>
        <v/>
      </c>
    </row>
    <row r="25">
      <c r="A25" s="23" t="inlineStr">
        <is>
          <t>% פער</t>
        </is>
      </c>
      <c r="B25" s="27">
        <f>IF(B22=0,"",(B21-B22)/B22)</f>
        <v/>
      </c>
      <c r="C25" s="27">
        <f>IF(C22=0,"",(C21-C22)/C22)</f>
        <v/>
      </c>
      <c r="D25" s="27">
        <f>IF(D22=0,"",(D21-D22)/D22)</f>
        <v/>
      </c>
      <c r="E25" s="27">
        <f>IF(E22=0,"",(E21-E22)/E22)</f>
        <v/>
      </c>
      <c r="F25" s="27">
        <f>IF(F22=0,"",(F21-F22)/F22)</f>
        <v/>
      </c>
      <c r="G25" s="27">
        <f>IF(G22=0,"",(G21-G22)/G22)</f>
        <v/>
      </c>
    </row>
  </sheetData>
  <mergeCells count="2">
    <mergeCell ref="A19:G19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rightToLeft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אשכול – מרץ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שעות/עובד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09-מרץ</t>
        </is>
      </c>
      <c r="B3" s="29" t="n">
        <v>13</v>
      </c>
      <c r="C3" s="30" t="n">
        <v>89.58333333139308</v>
      </c>
      <c r="D3" s="30" t="n">
        <v>6.891025640876391</v>
      </c>
      <c r="E3" s="29" t="n">
        <v>2687.499999941792</v>
      </c>
      <c r="F3" s="31" t="n">
        <v>30</v>
      </c>
    </row>
    <row r="4">
      <c r="A4" s="32" t="inlineStr">
        <is>
          <t>10-מרץ</t>
        </is>
      </c>
      <c r="B4" s="33" t="n">
        <v>12</v>
      </c>
      <c r="C4" s="34" t="n">
        <v>82.16666666435776</v>
      </c>
      <c r="D4" s="34" t="n">
        <v>6.847222222029814</v>
      </c>
      <c r="E4" s="33" t="n">
        <v>2464.999999930733</v>
      </c>
      <c r="F4" s="35" t="n">
        <v>30</v>
      </c>
    </row>
    <row r="5">
      <c r="A5" s="28" t="inlineStr">
        <is>
          <t>11-מרץ</t>
        </is>
      </c>
      <c r="B5" s="29" t="n">
        <v>11</v>
      </c>
      <c r="C5" s="30" t="n">
        <v>74.75000000081491</v>
      </c>
      <c r="D5" s="30" t="n">
        <v>6.795454545528628</v>
      </c>
      <c r="E5" s="29" t="n">
        <v>2242.500000024447</v>
      </c>
      <c r="F5" s="31" t="n">
        <v>30</v>
      </c>
    </row>
    <row r="6">
      <c r="A6" s="32" t="inlineStr">
        <is>
          <t>12-מרץ</t>
        </is>
      </c>
      <c r="B6" s="33" t="n">
        <v>12</v>
      </c>
      <c r="C6" s="34" t="n">
        <v>60.00000000471482</v>
      </c>
      <c r="D6" s="34" t="n">
        <v>5.000000000392902</v>
      </c>
      <c r="E6" s="33" t="n">
        <v>1800.000000141445</v>
      </c>
      <c r="F6" s="35" t="n">
        <v>30</v>
      </c>
    </row>
    <row r="7">
      <c r="A7" s="28" t="inlineStr">
        <is>
          <t>16-מרץ</t>
        </is>
      </c>
      <c r="B7" s="29" t="n">
        <v>9</v>
      </c>
      <c r="C7" s="30" t="n">
        <v>60.08333332312759</v>
      </c>
      <c r="D7" s="30" t="n">
        <v>6.675925924791954</v>
      </c>
      <c r="E7" s="29" t="n">
        <v>1802.499999693828</v>
      </c>
      <c r="F7" s="31" t="n">
        <v>30</v>
      </c>
    </row>
    <row r="8">
      <c r="A8" s="32" t="inlineStr">
        <is>
          <t>17-מרץ</t>
        </is>
      </c>
      <c r="B8" s="33" t="n">
        <v>12</v>
      </c>
      <c r="C8" s="34" t="n">
        <v>78.49999999481952</v>
      </c>
      <c r="D8" s="34" t="n">
        <v>6.54166666623496</v>
      </c>
      <c r="E8" s="33" t="n">
        <v>2354.999999844586</v>
      </c>
      <c r="F8" s="35" t="n">
        <v>30</v>
      </c>
    </row>
    <row r="9">
      <c r="A9" s="28" t="inlineStr">
        <is>
          <t>18-מרץ</t>
        </is>
      </c>
      <c r="B9" s="29" t="n">
        <v>12</v>
      </c>
      <c r="C9" s="30" t="n">
        <v>74.50000000570435</v>
      </c>
      <c r="D9" s="30" t="n">
        <v>6.208333333808696</v>
      </c>
      <c r="E9" s="29" t="n">
        <v>2235.000000171131</v>
      </c>
      <c r="F9" s="31" t="n">
        <v>30</v>
      </c>
    </row>
    <row r="10">
      <c r="A10" s="32" t="inlineStr">
        <is>
          <t>19-מרץ</t>
        </is>
      </c>
      <c r="B10" s="33" t="n">
        <v>4</v>
      </c>
      <c r="C10" s="34" t="n">
        <v>20.99999999348074</v>
      </c>
      <c r="D10" s="34" t="n">
        <v>5.249999998370185</v>
      </c>
      <c r="E10" s="33" t="n">
        <v>629.9999998044223</v>
      </c>
      <c r="F10" s="35" t="n">
        <v>30</v>
      </c>
    </row>
    <row r="13" ht="18" customHeight="1">
      <c r="A13" s="13" t="inlineStr">
        <is>
          <t>סיכום חודשי</t>
        </is>
      </c>
    </row>
    <row r="14" ht="32" customHeight="1">
      <c r="A14" s="36" t="inlineStr"/>
      <c r="B14" s="3" t="inlineStr">
        <is>
          <t>ימי עבודה</t>
        </is>
      </c>
      <c r="C14" s="3" t="inlineStr">
        <is>
          <t>ממוצע עובדים/יום</t>
        </is>
      </c>
      <c r="D14" s="3" t="inlineStr">
        <is>
          <t>ממוצע שעות/יום</t>
        </is>
      </c>
      <c r="E14" s="3" t="inlineStr">
        <is>
          <t>שעות/עובד</t>
        </is>
      </c>
      <c r="F14" s="3" t="inlineStr">
        <is>
          <t>הכנסה (₪)</t>
        </is>
      </c>
      <c r="G14" s="3" t="inlineStr">
        <is>
          <t>תעריף ממוצע בפועל (₪/ש)</t>
        </is>
      </c>
    </row>
    <row r="15">
      <c r="A15" s="15" t="inlineStr">
        <is>
          <t>ביצוע</t>
        </is>
      </c>
      <c r="B15" s="16" t="n">
        <v>8</v>
      </c>
      <c r="C15" s="17" t="n">
        <v>10.625</v>
      </c>
      <c r="D15" s="17" t="n">
        <v>67.5729166648016</v>
      </c>
      <c r="E15" s="17" t="n">
        <v>6.276203541504191</v>
      </c>
      <c r="F15" s="16" t="n">
        <v>16217.49999955238</v>
      </c>
      <c r="G15" s="18" t="n">
        <v>30</v>
      </c>
    </row>
    <row r="16">
      <c r="A16" s="19" t="inlineStr">
        <is>
          <t>תקציב</t>
        </is>
      </c>
      <c r="B16" s="20" t="n">
        <v>8</v>
      </c>
      <c r="C16" s="21" t="n">
        <v>40.5</v>
      </c>
      <c r="D16" s="21" t="n">
        <v>202.5</v>
      </c>
      <c r="E16" s="21" t="n">
        <v>5</v>
      </c>
      <c r="F16" s="20" t="n">
        <v>51840</v>
      </c>
      <c r="G16" s="22" t="n">
        <v>32</v>
      </c>
    </row>
    <row r="18">
      <c r="A18" s="23" t="inlineStr">
        <is>
          <t>פער</t>
        </is>
      </c>
      <c r="B18" s="24">
        <f>B15-B16</f>
        <v/>
      </c>
      <c r="C18" s="25">
        <f>C15-C16</f>
        <v/>
      </c>
      <c r="D18" s="25">
        <f>D15-D16</f>
        <v/>
      </c>
      <c r="E18" s="25">
        <f>E15-E16</f>
        <v/>
      </c>
      <c r="F18" s="24">
        <f>F15-F16</f>
        <v/>
      </c>
      <c r="G18" s="26">
        <f>G15-G16</f>
        <v/>
      </c>
    </row>
    <row r="19">
      <c r="A19" s="23" t="inlineStr">
        <is>
          <t>% פער</t>
        </is>
      </c>
      <c r="B19" s="27">
        <f>IF(B16=0,"",(B15-B16)/B16)</f>
        <v/>
      </c>
      <c r="C19" s="27">
        <f>IF(C16=0,"",(C15-C16)/C16)</f>
        <v/>
      </c>
      <c r="D19" s="27">
        <f>IF(D16=0,"",(D15-D16)/D16)</f>
        <v/>
      </c>
      <c r="E19" s="27">
        <f>IF(E16=0,"",(E15-E16)/E16)</f>
        <v/>
      </c>
      <c r="F19" s="27">
        <f>IF(F16=0,"",(F15-F16)/F16)</f>
        <v/>
      </c>
      <c r="G19" s="27">
        <f>IF(G16=0,"",(G15-G16)/G16)</f>
        <v/>
      </c>
    </row>
  </sheetData>
  <mergeCells count="2">
    <mergeCell ref="A13:G13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B1243D70-2447-45D7-B7D8-F94C2CF3E93C}"/>
</file>

<file path=customXml/itemProps2.xml><?xml version="1.0" encoding="utf-8"?>
<ds:datastoreItem xmlns:ds="http://schemas.openxmlformats.org/officeDocument/2006/customXml" ds:itemID="{8C5514B4-DED9-4407-B600-D4E3E1E22E43}"/>
</file>

<file path=customXml/itemProps3.xml><?xml version="1.0" encoding="utf-8"?>
<ds:datastoreItem xmlns:ds="http://schemas.openxmlformats.org/officeDocument/2006/customXml" ds:itemID="{8D971F31-F99A-407B-9D83-7BC51BB5D64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2026-04-28T04:15:02Z</dcterms:created>
  <dcterms:modified xsi:type="dcterms:W3CDTF">2026-04-28T04:15:02Z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