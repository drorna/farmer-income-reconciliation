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  <sheet name="מר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/>
    </xf>
    <xf numFmtId="3" fontId="2" fillId="7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9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תבור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שעות/עובד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15</v>
      </c>
      <c r="C4" s="8" t="n">
        <v>17</v>
      </c>
      <c r="D4" s="9" t="n">
        <v>25.73333333333333</v>
      </c>
      <c r="E4" s="10" t="n">
        <v>28.25</v>
      </c>
      <c r="F4" s="9" t="n">
        <v>4.56879912962647</v>
      </c>
      <c r="G4" s="10" t="n">
        <v>5.25</v>
      </c>
      <c r="H4" s="7" t="n">
        <v>50740.50000340631</v>
      </c>
      <c r="I4" s="8" t="n">
        <v>83203.3125</v>
      </c>
      <c r="J4" s="11" t="n">
        <v>35</v>
      </c>
      <c r="K4" s="12" t="n">
        <v>33</v>
      </c>
    </row>
    <row r="5">
      <c r="A5" s="6" t="inlineStr">
        <is>
          <t>פברואר</t>
        </is>
      </c>
      <c r="B5" s="7" t="n">
        <v>17</v>
      </c>
      <c r="C5" s="8" t="n">
        <v>16</v>
      </c>
      <c r="D5" s="9" t="n">
        <v>40.88235294117647</v>
      </c>
      <c r="E5" s="10" t="n">
        <v>28.25</v>
      </c>
      <c r="F5" s="9" t="n">
        <v>4.375423310474214</v>
      </c>
      <c r="G5" s="10" t="n">
        <v>5.25</v>
      </c>
      <c r="H5" s="7" t="n">
        <v>106283.3333406478</v>
      </c>
      <c r="I5" s="8" t="n">
        <v>78309</v>
      </c>
      <c r="J5" s="11" t="n">
        <v>35</v>
      </c>
      <c r="K5" s="12" t="n">
        <v>33</v>
      </c>
    </row>
    <row r="6">
      <c r="A6" s="6" t="inlineStr">
        <is>
          <t>מרץ</t>
        </is>
      </c>
      <c r="B6" s="7" t="n">
        <v>4</v>
      </c>
      <c r="C6" s="8" t="n">
        <v>6</v>
      </c>
      <c r="D6" s="9" t="n">
        <v>5.75</v>
      </c>
      <c r="E6" s="10" t="n">
        <v>28.25</v>
      </c>
      <c r="F6" s="9" t="n">
        <v>3.083333333284827</v>
      </c>
      <c r="G6" s="10" t="n">
        <v>5.25</v>
      </c>
      <c r="H6" s="7" t="n">
        <v>2479.16666659672</v>
      </c>
      <c r="I6" s="8" t="n">
        <v>29365.875</v>
      </c>
      <c r="J6" s="11" t="n">
        <v>35</v>
      </c>
      <c r="K6" s="12" t="n">
        <v>33</v>
      </c>
    </row>
    <row r="9" ht="22" customHeight="1">
      <c r="A9" s="13" t="inlineStr">
        <is>
          <t>סיכום מצטבר מינואר עד מרץ</t>
        </is>
      </c>
    </row>
    <row r="10" ht="36" customHeight="1">
      <c r="A10" s="14" t="inlineStr"/>
      <c r="B10" s="3" t="inlineStr">
        <is>
          <t>ימי עבודה</t>
        </is>
      </c>
      <c r="C10" s="3" t="inlineStr">
        <is>
          <t>ממוצע עובדים/יום</t>
        </is>
      </c>
      <c r="D10" s="3" t="inlineStr">
        <is>
          <t>ממוצע שעות/יום</t>
        </is>
      </c>
      <c r="E10" s="3" t="inlineStr">
        <is>
          <t>שעות/עובד</t>
        </is>
      </c>
      <c r="F10" s="3" t="inlineStr">
        <is>
          <t>הכנסה (₪)</t>
        </is>
      </c>
      <c r="G10" s="3" t="inlineStr">
        <is>
          <t>תעריף ממוצע בפועל (₪/ש)</t>
        </is>
      </c>
    </row>
    <row r="11">
      <c r="A11" s="15" t="inlineStr">
        <is>
          <t>ביצוע</t>
        </is>
      </c>
      <c r="B11" s="16" t="n">
        <v>36</v>
      </c>
      <c r="C11" s="17" t="n">
        <v>30.66666666666667</v>
      </c>
      <c r="D11" s="17" t="n">
        <v>126.5896825481356</v>
      </c>
      <c r="E11" s="17" t="n">
        <v>4.312431015433278</v>
      </c>
      <c r="F11" s="16" t="n">
        <v>159503.0000106508</v>
      </c>
      <c r="G11" s="18" t="n">
        <v>35</v>
      </c>
    </row>
    <row r="12">
      <c r="A12" s="19" t="inlineStr">
        <is>
          <t>תקציב</t>
        </is>
      </c>
      <c r="B12" s="20" t="n">
        <v>39</v>
      </c>
      <c r="C12" s="21" t="n">
        <v>28.25</v>
      </c>
      <c r="D12" s="21" t="n">
        <v>148.3125</v>
      </c>
      <c r="E12" s="21" t="n">
        <v>5.25</v>
      </c>
      <c r="F12" s="20" t="n">
        <v>190878.1875</v>
      </c>
      <c r="G12" s="22" t="n">
        <v>33</v>
      </c>
    </row>
    <row r="14">
      <c r="A14" s="23" t="inlineStr">
        <is>
          <t>פער</t>
        </is>
      </c>
      <c r="B14" s="24">
        <f>B11-B12</f>
        <v/>
      </c>
      <c r="C14" s="25">
        <f>C11-C12</f>
        <v/>
      </c>
      <c r="D14" s="25">
        <f>D11-D12</f>
        <v/>
      </c>
      <c r="E14" s="25">
        <f>E11-E12</f>
        <v/>
      </c>
      <c r="F14" s="24">
        <f>F11-F12</f>
        <v/>
      </c>
      <c r="G14" s="26">
        <f>G11-G12</f>
        <v/>
      </c>
    </row>
    <row r="15">
      <c r="A15" s="23" t="inlineStr">
        <is>
          <t>% פער</t>
        </is>
      </c>
      <c r="B15" s="27">
        <f>IF(B12=0,"",(B11-B12)/B12)</f>
        <v/>
      </c>
      <c r="C15" s="27">
        <f>IF(C12=0,"",(C11-C12)/C12)</f>
        <v/>
      </c>
      <c r="D15" s="27">
        <f>IF(D12=0,"",(D11-D12)/D12)</f>
        <v/>
      </c>
      <c r="E15" s="27">
        <f>IF(E12=0,"",(E11-E12)/E12)</f>
        <v/>
      </c>
      <c r="F15" s="27">
        <f>IF(F12=0,"",(F11-F12)/F12)</f>
        <v/>
      </c>
      <c r="G15" s="27">
        <f>IF(G12=0,"",(G11-G12)/G12)</f>
        <v/>
      </c>
    </row>
    <row r="17" ht="20" customHeight="1">
      <c r="A17" s="28" t="inlineStr">
        <is>
          <t>הכנסה שאינה שעתית – מינואר עד מרץ</t>
        </is>
      </c>
    </row>
    <row r="18" ht="14" customHeight="1">
      <c r="A18" s="29" t="inlineStr">
        <is>
          <t>לא נכלל בחישוב תעריף / שעות / הכנסה שעתית</t>
        </is>
      </c>
    </row>
    <row r="19" ht="16" customHeight="1">
      <c r="A19" s="30" t="inlineStr">
        <is>
          <t>תאריך</t>
        </is>
      </c>
      <c r="B19" s="30" t="inlineStr">
        <is>
          <t>סוג</t>
        </is>
      </c>
      <c r="C19" s="30" t="inlineStr">
        <is>
          <t>עובדים</t>
        </is>
      </c>
      <c r="D19" s="30" t="inlineStr">
        <is>
          <t>סכום (₪)</t>
        </is>
      </c>
    </row>
    <row r="20">
      <c r="A20" s="31" t="inlineStr">
        <is>
          <t>05-ינו</t>
        </is>
      </c>
      <c r="B20" s="32" t="inlineStr">
        <is>
          <t>תפוקה</t>
        </is>
      </c>
      <c r="C20" s="32" t="inlineStr">
        <is>
          <t>אין נתון</t>
        </is>
      </c>
      <c r="D20" s="33" t="n">
        <v>6700</v>
      </c>
    </row>
    <row r="21">
      <c r="A21" s="31" t="inlineStr">
        <is>
          <t>06-ינו</t>
        </is>
      </c>
      <c r="B21" s="32" t="inlineStr">
        <is>
          <t>תפוקה</t>
        </is>
      </c>
      <c r="C21" s="32" t="inlineStr">
        <is>
          <t>אין נתון</t>
        </is>
      </c>
      <c r="D21" s="33" t="n">
        <v>6250</v>
      </c>
    </row>
    <row r="22">
      <c r="A22" s="31" t="inlineStr">
        <is>
          <t>07-ינו</t>
        </is>
      </c>
      <c r="B22" s="32" t="inlineStr">
        <is>
          <t>תפוקה</t>
        </is>
      </c>
      <c r="C22" s="32" t="inlineStr">
        <is>
          <t>אין נתון</t>
        </is>
      </c>
      <c r="D22" s="33" t="n">
        <v>6350</v>
      </c>
    </row>
    <row r="23">
      <c r="A23" s="31" t="inlineStr">
        <is>
          <t>08-ינו</t>
        </is>
      </c>
      <c r="B23" s="32" t="inlineStr">
        <is>
          <t>תפוקה</t>
        </is>
      </c>
      <c r="C23" s="32" t="inlineStr">
        <is>
          <t>אין נתון</t>
        </is>
      </c>
      <c r="D23" s="33" t="n">
        <v>1400</v>
      </c>
    </row>
    <row r="24">
      <c r="A24" s="31" t="inlineStr">
        <is>
          <t>12-ינו</t>
        </is>
      </c>
      <c r="B24" s="32" t="inlineStr">
        <is>
          <t>תפוקה</t>
        </is>
      </c>
      <c r="C24" s="32" t="inlineStr">
        <is>
          <t>אין נתון</t>
        </is>
      </c>
      <c r="D24" s="33" t="n">
        <v>3000</v>
      </c>
    </row>
    <row r="25">
      <c r="A25" s="31" t="inlineStr">
        <is>
          <t>26-ינו</t>
        </is>
      </c>
      <c r="B25" s="32" t="inlineStr">
        <is>
          <t>תפוקה</t>
        </is>
      </c>
      <c r="C25" s="32" t="inlineStr">
        <is>
          <t>אין נתון</t>
        </is>
      </c>
      <c r="D25" s="33" t="n">
        <v>3450</v>
      </c>
    </row>
    <row r="26">
      <c r="A26" s="31" t="inlineStr">
        <is>
          <t>27-ינו</t>
        </is>
      </c>
      <c r="B26" s="32" t="inlineStr">
        <is>
          <t>תפוקה</t>
        </is>
      </c>
      <c r="C26" s="32" t="inlineStr">
        <is>
          <t>אין נתון</t>
        </is>
      </c>
      <c r="D26" s="33" t="n">
        <v>3680</v>
      </c>
    </row>
    <row r="27">
      <c r="A27" s="31" t="inlineStr">
        <is>
          <t>02-פבר</t>
        </is>
      </c>
      <c r="B27" s="32" t="inlineStr">
        <is>
          <t>יומי</t>
        </is>
      </c>
      <c r="C27" s="33" t="n">
        <v>11</v>
      </c>
      <c r="D27" s="33" t="n">
        <v>1980</v>
      </c>
    </row>
    <row r="28">
      <c r="A28" s="31" t="inlineStr">
        <is>
          <t>09-פבר</t>
        </is>
      </c>
      <c r="B28" s="32" t="inlineStr">
        <is>
          <t>יומי</t>
        </is>
      </c>
      <c r="C28" s="33" t="n">
        <v>6</v>
      </c>
      <c r="D28" s="33" t="n">
        <v>1080</v>
      </c>
    </row>
    <row r="29">
      <c r="A29" s="31" t="inlineStr">
        <is>
          <t>10-פבר</t>
        </is>
      </c>
      <c r="B29" s="32" t="inlineStr">
        <is>
          <t>יומי</t>
        </is>
      </c>
      <c r="C29" s="33" t="n">
        <v>6</v>
      </c>
      <c r="D29" s="33" t="n">
        <v>1080</v>
      </c>
    </row>
    <row r="30">
      <c r="A30" s="31" t="inlineStr">
        <is>
          <t>11-פבר</t>
        </is>
      </c>
      <c r="B30" s="32" t="inlineStr">
        <is>
          <t>יומי</t>
        </is>
      </c>
      <c r="C30" s="33" t="n">
        <v>6</v>
      </c>
      <c r="D30" s="33" t="n">
        <v>1080</v>
      </c>
    </row>
    <row r="31">
      <c r="A31" s="31" t="inlineStr">
        <is>
          <t>18-פבר</t>
        </is>
      </c>
      <c r="B31" s="32" t="inlineStr">
        <is>
          <t>תפוקה</t>
        </is>
      </c>
      <c r="C31" s="33" t="n">
        <v>57</v>
      </c>
      <c r="D31" s="33" t="n">
        <v>7410</v>
      </c>
    </row>
    <row r="32">
      <c r="A32" s="34" t="inlineStr">
        <is>
          <t>סה"כ</t>
        </is>
      </c>
      <c r="B32" s="30" t="inlineStr">
        <is>
          <t>12 ימים</t>
        </is>
      </c>
      <c r="C32" s="30" t="inlineStr"/>
      <c r="D32" s="35" t="n">
        <v>43460</v>
      </c>
    </row>
  </sheetData>
  <mergeCells count="10">
    <mergeCell ref="F2:G2"/>
    <mergeCell ref="A17:D17"/>
    <mergeCell ref="B2:C2"/>
    <mergeCell ref="H2:I2"/>
    <mergeCell ref="A18:D18"/>
    <mergeCell ref="D2:E2"/>
    <mergeCell ref="A9:G9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תבור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36" t="inlineStr">
        <is>
          <t>06-ינו</t>
        </is>
      </c>
      <c r="B3" s="37" t="n">
        <v>2</v>
      </c>
      <c r="C3" s="38" t="n">
        <v>12.00000000162981</v>
      </c>
      <c r="D3" s="38" t="n">
        <v>6.000000000814907</v>
      </c>
      <c r="E3" s="37" t="n">
        <v>420.0000000570435</v>
      </c>
      <c r="F3" s="39" t="n">
        <v>35</v>
      </c>
    </row>
    <row r="4">
      <c r="A4" s="40" t="inlineStr">
        <is>
          <t>07-ינו</t>
        </is>
      </c>
      <c r="B4" s="41" t="n">
        <v>4</v>
      </c>
      <c r="C4" s="42" t="n">
        <v>20</v>
      </c>
      <c r="D4" s="42" t="n">
        <v>5</v>
      </c>
      <c r="E4" s="41" t="n">
        <v>700</v>
      </c>
      <c r="F4" s="43" t="n">
        <v>35</v>
      </c>
    </row>
    <row r="5">
      <c r="A5" s="36" t="inlineStr">
        <is>
          <t>13-ינו</t>
        </is>
      </c>
      <c r="B5" s="37" t="n">
        <v>2</v>
      </c>
      <c r="C5" s="38" t="n">
        <v>11.33333333453629</v>
      </c>
      <c r="D5" s="38" t="n">
        <v>5.666666667268146</v>
      </c>
      <c r="E5" s="37" t="n">
        <v>396.6666667087702</v>
      </c>
      <c r="F5" s="39" t="n">
        <v>35</v>
      </c>
    </row>
    <row r="6">
      <c r="A6" s="40" t="inlineStr">
        <is>
          <t>14-ינו</t>
        </is>
      </c>
      <c r="B6" s="41" t="n">
        <v>4</v>
      </c>
      <c r="C6" s="42" t="n">
        <v>19.99999999511056</v>
      </c>
      <c r="D6" s="42" t="n">
        <v>4.999999998777639</v>
      </c>
      <c r="E6" s="41" t="n">
        <v>699.9999998288695</v>
      </c>
      <c r="F6" s="43" t="n">
        <v>35</v>
      </c>
    </row>
    <row r="7">
      <c r="A7" s="36" t="inlineStr">
        <is>
          <t>20-ינו</t>
        </is>
      </c>
      <c r="B7" s="37" t="n">
        <v>23</v>
      </c>
      <c r="C7" s="38" t="n">
        <v>107.8333333483897</v>
      </c>
      <c r="D7" s="38" t="n">
        <v>4.688405797756075</v>
      </c>
      <c r="E7" s="37" t="n">
        <v>3774.16666719364</v>
      </c>
      <c r="F7" s="39" t="n">
        <v>35</v>
      </c>
    </row>
    <row r="8">
      <c r="A8" s="40" t="inlineStr">
        <is>
          <t>21-ינו</t>
        </is>
      </c>
      <c r="B8" s="41" t="n">
        <v>39</v>
      </c>
      <c r="C8" s="42" t="n">
        <v>172.4166666789679</v>
      </c>
      <c r="D8" s="42" t="n">
        <v>4.420940171255586</v>
      </c>
      <c r="E8" s="41" t="n">
        <v>6034.583333763876</v>
      </c>
      <c r="F8" s="43" t="n">
        <v>35</v>
      </c>
    </row>
    <row r="9">
      <c r="A9" s="36" t="inlineStr">
        <is>
          <t>27-ינו</t>
        </is>
      </c>
      <c r="B9" s="37" t="n">
        <v>70</v>
      </c>
      <c r="C9" s="38" t="n">
        <v>142.2619047629913</v>
      </c>
      <c r="D9" s="38" t="n">
        <v>2.03231292518559</v>
      </c>
      <c r="E9" s="37" t="n">
        <v>4979.166666704696</v>
      </c>
      <c r="F9" s="39" t="n">
        <v>34.99999999999999</v>
      </c>
    </row>
    <row r="10">
      <c r="A10" s="40" t="inlineStr">
        <is>
          <t>28-ינו</t>
        </is>
      </c>
      <c r="B10" s="41" t="n">
        <v>28</v>
      </c>
      <c r="C10" s="42" t="n">
        <v>111.9999999998836</v>
      </c>
      <c r="D10" s="42" t="n">
        <v>3.999999999995842</v>
      </c>
      <c r="E10" s="41" t="n">
        <v>3919.999999995925</v>
      </c>
      <c r="F10" s="43" t="n">
        <v>35</v>
      </c>
    </row>
    <row r="11">
      <c r="A11" s="36" t="inlineStr">
        <is>
          <t>19-ינו</t>
        </is>
      </c>
      <c r="B11" s="37" t="n">
        <v>4</v>
      </c>
      <c r="C11" s="38" t="n">
        <v>29</v>
      </c>
      <c r="D11" s="38" t="n">
        <v>7.25</v>
      </c>
      <c r="E11" s="37" t="n">
        <v>1015</v>
      </c>
      <c r="F11" s="39" t="n">
        <v>35</v>
      </c>
    </row>
    <row r="12">
      <c r="A12" s="40" t="inlineStr">
        <is>
          <t>12-ינו</t>
        </is>
      </c>
      <c r="B12" s="41" t="n">
        <v>19</v>
      </c>
      <c r="C12" s="42" t="n">
        <v>78.75000000884756</v>
      </c>
      <c r="D12" s="42" t="n">
        <v>4.144736842570924</v>
      </c>
      <c r="E12" s="41" t="n">
        <v>2756.250000309665</v>
      </c>
      <c r="F12" s="43" t="n">
        <v>35</v>
      </c>
    </row>
    <row r="13">
      <c r="A13" s="36" t="inlineStr">
        <is>
          <t>22-ינו</t>
        </is>
      </c>
      <c r="B13" s="37" t="n">
        <v>50</v>
      </c>
      <c r="C13" s="38" t="n">
        <v>237.5000000423752</v>
      </c>
      <c r="D13" s="38" t="n">
        <v>4.750000000847503</v>
      </c>
      <c r="E13" s="37" t="n">
        <v>8312.500001483131</v>
      </c>
      <c r="F13" s="39" t="n">
        <v>35</v>
      </c>
    </row>
    <row r="14">
      <c r="A14" s="40" t="inlineStr">
        <is>
          <t>25-ינו</t>
        </is>
      </c>
      <c r="B14" s="41" t="n">
        <v>51</v>
      </c>
      <c r="C14" s="42" t="n">
        <v>188.583333341754</v>
      </c>
      <c r="D14" s="42" t="n">
        <v>3.697712418465766</v>
      </c>
      <c r="E14" s="41" t="n">
        <v>6600.416666961391</v>
      </c>
      <c r="F14" s="43" t="n">
        <v>35</v>
      </c>
    </row>
    <row r="15">
      <c r="A15" s="36" t="inlineStr">
        <is>
          <t>26-ינו</t>
        </is>
      </c>
      <c r="B15" s="37" t="n">
        <v>55</v>
      </c>
      <c r="C15" s="38" t="n">
        <v>163.0500000105938</v>
      </c>
      <c r="D15" s="38" t="n">
        <v>2.964545454738069</v>
      </c>
      <c r="E15" s="37" t="n">
        <v>5706.750000370783</v>
      </c>
      <c r="F15" s="39" t="n">
        <v>35</v>
      </c>
    </row>
    <row r="16">
      <c r="A16" s="40" t="inlineStr">
        <is>
          <t>08-ינו</t>
        </is>
      </c>
      <c r="B16" s="41" t="n">
        <v>20</v>
      </c>
      <c r="C16" s="42" t="n">
        <v>85</v>
      </c>
      <c r="D16" s="42" t="n">
        <v>4.25</v>
      </c>
      <c r="E16" s="41" t="n">
        <v>2975</v>
      </c>
      <c r="F16" s="43" t="n">
        <v>35</v>
      </c>
    </row>
    <row r="17">
      <c r="A17" s="36" t="inlineStr">
        <is>
          <t>29-ינו</t>
        </is>
      </c>
      <c r="B17" s="37" t="n">
        <v>15</v>
      </c>
      <c r="C17" s="38" t="n">
        <v>70.00000000081491</v>
      </c>
      <c r="D17" s="38" t="n">
        <v>4.666666666720994</v>
      </c>
      <c r="E17" s="37" t="n">
        <v>2450.000000028522</v>
      </c>
      <c r="F17" s="39" t="n">
        <v>35</v>
      </c>
    </row>
    <row r="20" ht="18" customHeight="1">
      <c r="A20" s="13" t="inlineStr">
        <is>
          <t>סיכום חודשי</t>
        </is>
      </c>
    </row>
    <row r="21" ht="32" customHeight="1">
      <c r="A21" s="44" t="inlineStr"/>
      <c r="B21" s="3" t="inlineStr">
        <is>
          <t>ימי עבודה</t>
        </is>
      </c>
      <c r="C21" s="3" t="inlineStr">
        <is>
          <t>ממוצע עובדים/יום</t>
        </is>
      </c>
      <c r="D21" s="3" t="inlineStr">
        <is>
          <t>ממוצע שעות/יום</t>
        </is>
      </c>
      <c r="E21" s="3" t="inlineStr">
        <is>
          <t>שעות/עובד</t>
        </is>
      </c>
      <c r="F21" s="3" t="inlineStr">
        <is>
          <t>הכנסה (₪)</t>
        </is>
      </c>
      <c r="G21" s="3" t="inlineStr">
        <is>
          <t>תעריף ממוצע בפועל (₪/ש)</t>
        </is>
      </c>
    </row>
    <row r="22">
      <c r="A22" s="15" t="inlineStr">
        <is>
          <t>ביצוע</t>
        </is>
      </c>
      <c r="B22" s="16" t="n">
        <v>15</v>
      </c>
      <c r="C22" s="17" t="n">
        <v>25.73333333333333</v>
      </c>
      <c r="D22" s="17" t="n">
        <v>96.64857143505965</v>
      </c>
      <c r="E22" s="17" t="n">
        <v>4.56879912962647</v>
      </c>
      <c r="F22" s="16" t="n">
        <v>50740.50000340631</v>
      </c>
      <c r="G22" s="18" t="n">
        <v>35</v>
      </c>
    </row>
    <row r="23">
      <c r="A23" s="19" t="inlineStr">
        <is>
          <t>תקציב</t>
        </is>
      </c>
      <c r="B23" s="20" t="n">
        <v>17</v>
      </c>
      <c r="C23" s="21" t="n">
        <v>28.25</v>
      </c>
      <c r="D23" s="21" t="n">
        <v>148.3125</v>
      </c>
      <c r="E23" s="21" t="n">
        <v>5.25</v>
      </c>
      <c r="F23" s="20" t="n">
        <v>83203.3125</v>
      </c>
      <c r="G23" s="22" t="n">
        <v>33</v>
      </c>
    </row>
    <row r="25">
      <c r="A25" s="23" t="inlineStr">
        <is>
          <t>פער</t>
        </is>
      </c>
      <c r="B25" s="24">
        <f>B22-B23</f>
        <v/>
      </c>
      <c r="C25" s="25">
        <f>C22-C23</f>
        <v/>
      </c>
      <c r="D25" s="25">
        <f>D22-D23</f>
        <v/>
      </c>
      <c r="E25" s="25">
        <f>E22-E23</f>
        <v/>
      </c>
      <c r="F25" s="24">
        <f>F22-F23</f>
        <v/>
      </c>
      <c r="G25" s="26">
        <f>G22-G23</f>
        <v/>
      </c>
    </row>
    <row r="26">
      <c r="A26" s="23" t="inlineStr">
        <is>
          <t>% פער</t>
        </is>
      </c>
      <c r="B26" s="27">
        <f>IF(B23=0,"",(B22-B23)/B23)</f>
        <v/>
      </c>
      <c r="C26" s="27">
        <f>IF(C23=0,"",(C22-C23)/C23)</f>
        <v/>
      </c>
      <c r="D26" s="27">
        <f>IF(D23=0,"",(D22-D23)/D23)</f>
        <v/>
      </c>
      <c r="E26" s="27">
        <f>IF(E23=0,"",(E22-E23)/E23)</f>
        <v/>
      </c>
      <c r="F26" s="27">
        <f>IF(F23=0,"",(F22-F23)/F23)</f>
        <v/>
      </c>
      <c r="G26" s="27">
        <f>IF(G23=0,"",(G22-G23)/G23)</f>
        <v/>
      </c>
    </row>
    <row r="28" ht="20" customHeight="1">
      <c r="A28" s="28" t="inlineStr">
        <is>
          <t>הכנסה שאינה שעתית</t>
        </is>
      </c>
    </row>
    <row r="29" ht="14" customHeight="1">
      <c r="A29" s="29" t="inlineStr">
        <is>
          <t>לא נכלל בחישוב תעריף / שעות / הכנסה שעתית</t>
        </is>
      </c>
    </row>
    <row r="30" ht="16" customHeight="1">
      <c r="A30" s="30" t="inlineStr">
        <is>
          <t>תאריך</t>
        </is>
      </c>
      <c r="B30" s="30" t="inlineStr">
        <is>
          <t>סוג</t>
        </is>
      </c>
      <c r="C30" s="30" t="inlineStr">
        <is>
          <t>עובדים</t>
        </is>
      </c>
      <c r="D30" s="30" t="inlineStr">
        <is>
          <t>סכום (₪)</t>
        </is>
      </c>
    </row>
    <row r="31">
      <c r="A31" s="31" t="inlineStr">
        <is>
          <t>05-ינו</t>
        </is>
      </c>
      <c r="B31" s="32" t="inlineStr">
        <is>
          <t>תפוקה</t>
        </is>
      </c>
      <c r="C31" s="32" t="inlineStr">
        <is>
          <t>אין נתון</t>
        </is>
      </c>
      <c r="D31" s="33" t="n">
        <v>6700</v>
      </c>
    </row>
    <row r="32">
      <c r="A32" s="31" t="inlineStr">
        <is>
          <t>06-ינו</t>
        </is>
      </c>
      <c r="B32" s="32" t="inlineStr">
        <is>
          <t>תפוקה</t>
        </is>
      </c>
      <c r="C32" s="32" t="inlineStr">
        <is>
          <t>אין נתון</t>
        </is>
      </c>
      <c r="D32" s="33" t="n">
        <v>6250</v>
      </c>
    </row>
    <row r="33">
      <c r="A33" s="31" t="inlineStr">
        <is>
          <t>07-ינו</t>
        </is>
      </c>
      <c r="B33" s="32" t="inlineStr">
        <is>
          <t>תפוקה</t>
        </is>
      </c>
      <c r="C33" s="32" t="inlineStr">
        <is>
          <t>אין נתון</t>
        </is>
      </c>
      <c r="D33" s="33" t="n">
        <v>6350</v>
      </c>
    </row>
    <row r="34">
      <c r="A34" s="31" t="inlineStr">
        <is>
          <t>08-ינו</t>
        </is>
      </c>
      <c r="B34" s="32" t="inlineStr">
        <is>
          <t>תפוקה</t>
        </is>
      </c>
      <c r="C34" s="32" t="inlineStr">
        <is>
          <t>אין נתון</t>
        </is>
      </c>
      <c r="D34" s="33" t="n">
        <v>1400</v>
      </c>
    </row>
    <row r="35">
      <c r="A35" s="31" t="inlineStr">
        <is>
          <t>12-ינו</t>
        </is>
      </c>
      <c r="B35" s="32" t="inlineStr">
        <is>
          <t>תפוקה</t>
        </is>
      </c>
      <c r="C35" s="32" t="inlineStr">
        <is>
          <t>אין נתון</t>
        </is>
      </c>
      <c r="D35" s="33" t="n">
        <v>3000</v>
      </c>
    </row>
    <row r="36">
      <c r="A36" s="31" t="inlineStr">
        <is>
          <t>26-ינו</t>
        </is>
      </c>
      <c r="B36" s="32" t="inlineStr">
        <is>
          <t>תפוקה</t>
        </is>
      </c>
      <c r="C36" s="32" t="inlineStr">
        <is>
          <t>אין נתון</t>
        </is>
      </c>
      <c r="D36" s="33" t="n">
        <v>3450</v>
      </c>
    </row>
    <row r="37">
      <c r="A37" s="31" t="inlineStr">
        <is>
          <t>27-ינו</t>
        </is>
      </c>
      <c r="B37" s="32" t="inlineStr">
        <is>
          <t>תפוקה</t>
        </is>
      </c>
      <c r="C37" s="32" t="inlineStr">
        <is>
          <t>אין נתון</t>
        </is>
      </c>
      <c r="D37" s="33" t="n">
        <v>3680</v>
      </c>
    </row>
    <row r="38">
      <c r="A38" s="34" t="inlineStr">
        <is>
          <t>סה"כ</t>
        </is>
      </c>
      <c r="B38" s="30" t="inlineStr">
        <is>
          <t>7 ימים</t>
        </is>
      </c>
      <c r="C38" s="30" t="inlineStr"/>
      <c r="D38" s="35" t="n">
        <v>30830</v>
      </c>
    </row>
  </sheetData>
  <mergeCells count="4">
    <mergeCell ref="A20:G20"/>
    <mergeCell ref="A28:D28"/>
    <mergeCell ref="A1:G1"/>
    <mergeCell ref="A29:D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תבור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36" t="inlineStr">
        <is>
          <t>17-פבר</t>
        </is>
      </c>
      <c r="B3" s="37" t="n">
        <v>47</v>
      </c>
      <c r="C3" s="38" t="n">
        <v>219.5833333256887</v>
      </c>
      <c r="D3" s="38" t="n">
        <v>4.671985815440186</v>
      </c>
      <c r="E3" s="37" t="n">
        <v>7685.416666399105</v>
      </c>
      <c r="F3" s="39" t="n">
        <v>35</v>
      </c>
    </row>
    <row r="4">
      <c r="A4" s="40" t="inlineStr">
        <is>
          <t>18-פבר</t>
        </is>
      </c>
      <c r="B4" s="41" t="n">
        <v>14</v>
      </c>
      <c r="C4" s="42" t="n">
        <v>67.83333333779592</v>
      </c>
      <c r="D4" s="42" t="n">
        <v>4.845238095556851</v>
      </c>
      <c r="E4" s="41" t="n">
        <v>2374.166666822857</v>
      </c>
      <c r="F4" s="43" t="n">
        <v>35</v>
      </c>
    </row>
    <row r="5">
      <c r="A5" s="36" t="inlineStr">
        <is>
          <t>03-פבר</t>
        </is>
      </c>
      <c r="B5" s="37" t="n">
        <v>2</v>
      </c>
      <c r="C5" s="38" t="n">
        <v>11.5</v>
      </c>
      <c r="D5" s="38" t="n">
        <v>5.75</v>
      </c>
      <c r="E5" s="37" t="n">
        <v>402.5</v>
      </c>
      <c r="F5" s="39" t="n">
        <v>35</v>
      </c>
    </row>
    <row r="6">
      <c r="A6" s="40" t="inlineStr">
        <is>
          <t>04-פבר</t>
        </is>
      </c>
      <c r="B6" s="41" t="n">
        <v>50</v>
      </c>
      <c r="C6" s="42" t="n">
        <v>153.3333333435585</v>
      </c>
      <c r="D6" s="42" t="n">
        <v>3.06666666687117</v>
      </c>
      <c r="E6" s="41" t="n">
        <v>5366.666667024547</v>
      </c>
      <c r="F6" s="43" t="n">
        <v>35</v>
      </c>
    </row>
    <row r="7">
      <c r="A7" s="36" t="inlineStr">
        <is>
          <t>10-פבר</t>
        </is>
      </c>
      <c r="B7" s="37" t="n">
        <v>38</v>
      </c>
      <c r="C7" s="38" t="n">
        <v>184.7500000342261</v>
      </c>
      <c r="D7" s="38" t="n">
        <v>4.861842106163845</v>
      </c>
      <c r="E7" s="37" t="n">
        <v>6466.250001197914</v>
      </c>
      <c r="F7" s="39" t="n">
        <v>35</v>
      </c>
    </row>
    <row r="8">
      <c r="A8" s="40" t="inlineStr">
        <is>
          <t>11-פבר</t>
        </is>
      </c>
      <c r="B8" s="41" t="n">
        <v>39</v>
      </c>
      <c r="C8" s="42" t="n">
        <v>139.249999992724</v>
      </c>
      <c r="D8" s="42" t="n">
        <v>3.570512820326257</v>
      </c>
      <c r="E8" s="41" t="n">
        <v>4873.749999745341</v>
      </c>
      <c r="F8" s="43" t="n">
        <v>35</v>
      </c>
    </row>
    <row r="9">
      <c r="A9" s="36" t="inlineStr">
        <is>
          <t>02-פבר</t>
        </is>
      </c>
      <c r="B9" s="37" t="n">
        <v>41</v>
      </c>
      <c r="C9" s="38" t="n">
        <v>186.7499999779393</v>
      </c>
      <c r="D9" s="38" t="n">
        <v>4.554878048242422</v>
      </c>
      <c r="E9" s="37" t="n">
        <v>6536.249999227875</v>
      </c>
      <c r="F9" s="39" t="n">
        <v>35</v>
      </c>
    </row>
    <row r="10">
      <c r="A10" s="40" t="inlineStr">
        <is>
          <t>05-פבר</t>
        </is>
      </c>
      <c r="B10" s="41" t="n">
        <v>46</v>
      </c>
      <c r="C10" s="42" t="n">
        <v>158.5000000358559</v>
      </c>
      <c r="D10" s="42" t="n">
        <v>3.44565217469252</v>
      </c>
      <c r="E10" s="41" t="n">
        <v>5547.500001254957</v>
      </c>
      <c r="F10" s="43" t="n">
        <v>35</v>
      </c>
    </row>
    <row r="11">
      <c r="A11" s="36" t="inlineStr">
        <is>
          <t>09-פבר</t>
        </is>
      </c>
      <c r="B11" s="37" t="n">
        <v>42</v>
      </c>
      <c r="C11" s="38" t="n">
        <v>196.6666666354868</v>
      </c>
      <c r="D11" s="38" t="n">
        <v>4.682539681797304</v>
      </c>
      <c r="E11" s="37" t="n">
        <v>6883.333332242037</v>
      </c>
      <c r="F11" s="39" t="n">
        <v>35</v>
      </c>
    </row>
    <row r="12">
      <c r="A12" s="40" t="inlineStr">
        <is>
          <t>12-פבר</t>
        </is>
      </c>
      <c r="B12" s="41" t="n">
        <v>27</v>
      </c>
      <c r="C12" s="42" t="n">
        <v>119.3333333489718</v>
      </c>
      <c r="D12" s="42" t="n">
        <v>4.419753086998956</v>
      </c>
      <c r="E12" s="41" t="n">
        <v>4176.666667214013</v>
      </c>
      <c r="F12" s="43" t="n">
        <v>35</v>
      </c>
    </row>
    <row r="13">
      <c r="A13" s="36" t="inlineStr">
        <is>
          <t>15-פבר</t>
        </is>
      </c>
      <c r="B13" s="37" t="n">
        <v>16</v>
      </c>
      <c r="C13" s="38" t="n">
        <v>49.33333333674818</v>
      </c>
      <c r="D13" s="38" t="n">
        <v>3.083333333546761</v>
      </c>
      <c r="E13" s="37" t="n">
        <v>1726.666666786186</v>
      </c>
      <c r="F13" s="39" t="n">
        <v>35</v>
      </c>
    </row>
    <row r="14">
      <c r="A14" s="40" t="inlineStr">
        <is>
          <t>16-פבר</t>
        </is>
      </c>
      <c r="B14" s="41" t="n">
        <v>54</v>
      </c>
      <c r="C14" s="42" t="n">
        <v>256.7500000624568</v>
      </c>
      <c r="D14" s="42" t="n">
        <v>4.754629630786237</v>
      </c>
      <c r="E14" s="41" t="n">
        <v>8986.250002185989</v>
      </c>
      <c r="F14" s="43" t="n">
        <v>35</v>
      </c>
    </row>
    <row r="15">
      <c r="A15" s="36" t="inlineStr">
        <is>
          <t>19-פבר</t>
        </is>
      </c>
      <c r="B15" s="37" t="n">
        <v>93</v>
      </c>
      <c r="C15" s="38" t="n">
        <v>454.4166667393874</v>
      </c>
      <c r="D15" s="38" t="n">
        <v>4.886200717627822</v>
      </c>
      <c r="E15" s="37" t="n">
        <v>15904.58333587856</v>
      </c>
      <c r="F15" s="39" t="n">
        <v>35</v>
      </c>
    </row>
    <row r="16">
      <c r="A16" s="40" t="inlineStr">
        <is>
          <t>23-פבר</t>
        </is>
      </c>
      <c r="B16" s="41" t="n">
        <v>53</v>
      </c>
      <c r="C16" s="42" t="n">
        <v>233.9166666707606</v>
      </c>
      <c r="D16" s="42" t="n">
        <v>4.413522012655861</v>
      </c>
      <c r="E16" s="41" t="n">
        <v>8187.083333476621</v>
      </c>
      <c r="F16" s="43" t="n">
        <v>35</v>
      </c>
    </row>
    <row r="17">
      <c r="A17" s="36" t="inlineStr">
        <is>
          <t>25-פבר</t>
        </is>
      </c>
      <c r="B17" s="37" t="n">
        <v>58</v>
      </c>
      <c r="C17" s="38" t="n">
        <v>293.0000000220025</v>
      </c>
      <c r="D17" s="38" t="n">
        <v>5.051724138310388</v>
      </c>
      <c r="E17" s="37" t="n">
        <v>10255.00000077009</v>
      </c>
      <c r="F17" s="39" t="n">
        <v>35</v>
      </c>
    </row>
    <row r="18">
      <c r="A18" s="40" t="inlineStr">
        <is>
          <t>26-פבר</t>
        </is>
      </c>
      <c r="B18" s="41" t="n">
        <v>39</v>
      </c>
      <c r="C18" s="42" t="n">
        <v>157.2500000035507</v>
      </c>
      <c r="D18" s="42" t="n">
        <v>4.032051282142325</v>
      </c>
      <c r="E18" s="41" t="n">
        <v>5503.750000124273</v>
      </c>
      <c r="F18" s="43" t="n">
        <v>35</v>
      </c>
    </row>
    <row r="19">
      <c r="A19" s="36" t="inlineStr">
        <is>
          <t>24-פבר</t>
        </is>
      </c>
      <c r="B19" s="37" t="n">
        <v>36</v>
      </c>
      <c r="C19" s="38" t="n">
        <v>154.5000000084983</v>
      </c>
      <c r="D19" s="38" t="n">
        <v>4.291666666902731</v>
      </c>
      <c r="E19" s="37" t="n">
        <v>5407.500000297441</v>
      </c>
      <c r="F19" s="39" t="n">
        <v>35</v>
      </c>
    </row>
    <row r="22" ht="18" customHeight="1">
      <c r="A22" s="13" t="inlineStr">
        <is>
          <t>סיכום חודשי</t>
        </is>
      </c>
    </row>
    <row r="23" ht="32" customHeight="1">
      <c r="A23" s="44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שעות/עובד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40.88235294117647</v>
      </c>
      <c r="D24" s="17" t="n">
        <v>178.6274509926854</v>
      </c>
      <c r="E24" s="17" t="n">
        <v>4.375423310474214</v>
      </c>
      <c r="F24" s="16" t="n">
        <v>106283.3333406478</v>
      </c>
      <c r="G24" s="18" t="n">
        <v>35</v>
      </c>
    </row>
    <row r="25">
      <c r="A25" s="19" t="inlineStr">
        <is>
          <t>תקציב</t>
        </is>
      </c>
      <c r="B25" s="20" t="n">
        <v>16</v>
      </c>
      <c r="C25" s="21" t="n">
        <v>28.25</v>
      </c>
      <c r="D25" s="21" t="n">
        <v>148.3125</v>
      </c>
      <c r="E25" s="21" t="n">
        <v>5.25</v>
      </c>
      <c r="F25" s="20" t="n">
        <v>78309</v>
      </c>
      <c r="G25" s="22" t="n">
        <v>33</v>
      </c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  <row r="30" ht="20" customHeight="1">
      <c r="A30" s="28" t="inlineStr">
        <is>
          <t>הכנסה שאינה שעתית</t>
        </is>
      </c>
    </row>
    <row r="31" ht="14" customHeight="1">
      <c r="A31" s="29" t="inlineStr">
        <is>
          <t>לא נכלל בחישוב תעריף / שעות / הכנסה שעתית</t>
        </is>
      </c>
    </row>
    <row r="32" ht="16" customHeight="1">
      <c r="A32" s="30" t="inlineStr">
        <is>
          <t>תאריך</t>
        </is>
      </c>
      <c r="B32" s="30" t="inlineStr">
        <is>
          <t>סוג</t>
        </is>
      </c>
      <c r="C32" s="30" t="inlineStr">
        <is>
          <t>עובדים</t>
        </is>
      </c>
      <c r="D32" s="30" t="inlineStr">
        <is>
          <t>סכום (₪)</t>
        </is>
      </c>
    </row>
    <row r="33">
      <c r="A33" s="31" t="inlineStr">
        <is>
          <t>02-פבר</t>
        </is>
      </c>
      <c r="B33" s="32" t="inlineStr">
        <is>
          <t>יומי</t>
        </is>
      </c>
      <c r="C33" s="33" t="n">
        <v>11</v>
      </c>
      <c r="D33" s="33" t="n">
        <v>1980</v>
      </c>
    </row>
    <row r="34">
      <c r="A34" s="31" t="inlineStr">
        <is>
          <t>09-פבר</t>
        </is>
      </c>
      <c r="B34" s="32" t="inlineStr">
        <is>
          <t>יומי</t>
        </is>
      </c>
      <c r="C34" s="33" t="n">
        <v>6</v>
      </c>
      <c r="D34" s="33" t="n">
        <v>1080</v>
      </c>
    </row>
    <row r="35">
      <c r="A35" s="31" t="inlineStr">
        <is>
          <t>10-פבר</t>
        </is>
      </c>
      <c r="B35" s="32" t="inlineStr">
        <is>
          <t>יומי</t>
        </is>
      </c>
      <c r="C35" s="33" t="n">
        <v>6</v>
      </c>
      <c r="D35" s="33" t="n">
        <v>1080</v>
      </c>
    </row>
    <row r="36">
      <c r="A36" s="31" t="inlineStr">
        <is>
          <t>11-פבר</t>
        </is>
      </c>
      <c r="B36" s="32" t="inlineStr">
        <is>
          <t>יומי</t>
        </is>
      </c>
      <c r="C36" s="33" t="n">
        <v>6</v>
      </c>
      <c r="D36" s="33" t="n">
        <v>1080</v>
      </c>
    </row>
    <row r="37">
      <c r="A37" s="31" t="inlineStr">
        <is>
          <t>18-פבר</t>
        </is>
      </c>
      <c r="B37" s="32" t="inlineStr">
        <is>
          <t>תפוקה</t>
        </is>
      </c>
      <c r="C37" s="33" t="n">
        <v>57</v>
      </c>
      <c r="D37" s="33" t="n">
        <v>7410</v>
      </c>
    </row>
    <row r="38">
      <c r="A38" s="34" t="inlineStr">
        <is>
          <t>סה"כ</t>
        </is>
      </c>
      <c r="B38" s="30" t="inlineStr">
        <is>
          <t>5 ימים</t>
        </is>
      </c>
      <c r="C38" s="30" t="inlineStr"/>
      <c r="D38" s="35" t="n">
        <v>12630</v>
      </c>
    </row>
  </sheetData>
  <mergeCells count="4">
    <mergeCell ref="A31:D31"/>
    <mergeCell ref="A22:G22"/>
    <mergeCell ref="A1:G1"/>
    <mergeCell ref="A30:D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תבור – מרץ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36" t="inlineStr">
        <is>
          <t>10-מרץ</t>
        </is>
      </c>
      <c r="B3" s="37" t="n">
        <v>5</v>
      </c>
      <c r="C3" s="38" t="n">
        <v>16.25000000029104</v>
      </c>
      <c r="D3" s="38" t="n">
        <v>3.250000000058208</v>
      </c>
      <c r="E3" s="37" t="n">
        <v>568.7500000101863</v>
      </c>
      <c r="F3" s="39" t="n">
        <v>35</v>
      </c>
    </row>
    <row r="4">
      <c r="A4" s="40" t="inlineStr">
        <is>
          <t>11-מרץ</t>
        </is>
      </c>
      <c r="B4" s="41" t="n">
        <v>5</v>
      </c>
      <c r="C4" s="42" t="n">
        <v>12.08333333313931</v>
      </c>
      <c r="D4" s="42" t="n">
        <v>2.416666666627862</v>
      </c>
      <c r="E4" s="41" t="n">
        <v>422.9166666598758</v>
      </c>
      <c r="F4" s="43" t="n">
        <v>35</v>
      </c>
    </row>
    <row r="5">
      <c r="A5" s="36" t="inlineStr">
        <is>
          <t>08-מרץ</t>
        </is>
      </c>
      <c r="B5" s="37" t="n">
        <v>7</v>
      </c>
      <c r="C5" s="38" t="n">
        <v>17.49999999429565</v>
      </c>
      <c r="D5" s="38" t="n">
        <v>2.499999999185093</v>
      </c>
      <c r="E5" s="37" t="n">
        <v>612.4999998003477</v>
      </c>
      <c r="F5" s="39" t="n">
        <v>35</v>
      </c>
    </row>
    <row r="6">
      <c r="A6" s="40" t="inlineStr">
        <is>
          <t>09-מרץ</t>
        </is>
      </c>
      <c r="B6" s="41" t="n">
        <v>6</v>
      </c>
      <c r="C6" s="42" t="n">
        <v>25.00000000360887</v>
      </c>
      <c r="D6" s="42" t="n">
        <v>4.166666667268146</v>
      </c>
      <c r="E6" s="41" t="n">
        <v>875.0000001263106</v>
      </c>
      <c r="F6" s="43" t="n">
        <v>35</v>
      </c>
    </row>
    <row r="9" ht="18" customHeight="1">
      <c r="A9" s="13" t="inlineStr">
        <is>
          <t>סיכום חודשי</t>
        </is>
      </c>
    </row>
    <row r="10" ht="32" customHeight="1">
      <c r="A10" s="44" t="inlineStr"/>
      <c r="B10" s="3" t="inlineStr">
        <is>
          <t>ימי עבודה</t>
        </is>
      </c>
      <c r="C10" s="3" t="inlineStr">
        <is>
          <t>ממוצע עובדים/יום</t>
        </is>
      </c>
      <c r="D10" s="3" t="inlineStr">
        <is>
          <t>ממוצע שעות/יום</t>
        </is>
      </c>
      <c r="E10" s="3" t="inlineStr">
        <is>
          <t>שעות/עובד</t>
        </is>
      </c>
      <c r="F10" s="3" t="inlineStr">
        <is>
          <t>הכנסה (₪)</t>
        </is>
      </c>
      <c r="G10" s="3" t="inlineStr">
        <is>
          <t>תעריף ממוצע בפועל (₪/ש)</t>
        </is>
      </c>
    </row>
    <row r="11">
      <c r="A11" s="15" t="inlineStr">
        <is>
          <t>ביצוע</t>
        </is>
      </c>
      <c r="B11" s="16" t="n">
        <v>4</v>
      </c>
      <c r="C11" s="17" t="n">
        <v>5.75</v>
      </c>
      <c r="D11" s="17" t="n">
        <v>17.70833333283372</v>
      </c>
      <c r="E11" s="17" t="n">
        <v>3.083333333284827</v>
      </c>
      <c r="F11" s="16" t="n">
        <v>2479.16666659672</v>
      </c>
      <c r="G11" s="18" t="n">
        <v>35</v>
      </c>
    </row>
    <row r="12">
      <c r="A12" s="19" t="inlineStr">
        <is>
          <t>תקציב</t>
        </is>
      </c>
      <c r="B12" s="20" t="n">
        <v>6</v>
      </c>
      <c r="C12" s="21" t="n">
        <v>28.25</v>
      </c>
      <c r="D12" s="21" t="n">
        <v>148.3125</v>
      </c>
      <c r="E12" s="21" t="n">
        <v>5.25</v>
      </c>
      <c r="F12" s="20" t="n">
        <v>29365.875</v>
      </c>
      <c r="G12" s="22" t="n">
        <v>33</v>
      </c>
    </row>
    <row r="14">
      <c r="A14" s="23" t="inlineStr">
        <is>
          <t>פער</t>
        </is>
      </c>
      <c r="B14" s="24">
        <f>B11-B12</f>
        <v/>
      </c>
      <c r="C14" s="25">
        <f>C11-C12</f>
        <v/>
      </c>
      <c r="D14" s="25">
        <f>D11-D12</f>
        <v/>
      </c>
      <c r="E14" s="25">
        <f>E11-E12</f>
        <v/>
      </c>
      <c r="F14" s="24">
        <f>F11-F12</f>
        <v/>
      </c>
      <c r="G14" s="26">
        <f>G11-G12</f>
        <v/>
      </c>
    </row>
    <row r="15">
      <c r="A15" s="23" t="inlineStr">
        <is>
          <t>% פער</t>
        </is>
      </c>
      <c r="B15" s="27">
        <f>IF(B12=0,"",(B11-B12)/B12)</f>
        <v/>
      </c>
      <c r="C15" s="27">
        <f>IF(C12=0,"",(C11-C12)/C12)</f>
        <v/>
      </c>
      <c r="D15" s="27">
        <f>IF(D12=0,"",(D11-D12)/D12)</f>
        <v/>
      </c>
      <c r="E15" s="27">
        <f>IF(E12=0,"",(E11-E12)/E12)</f>
        <v/>
      </c>
      <c r="F15" s="27">
        <f>IF(F12=0,"",(F11-F12)/F12)</f>
        <v/>
      </c>
      <c r="G15" s="27">
        <f>IF(G12=0,"",(G11-G12)/G12)</f>
        <v/>
      </c>
    </row>
  </sheetData>
  <mergeCells count="2">
    <mergeCell ref="A1:G1"/>
    <mergeCell ref="A9:G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2DFC0EEA-FFD2-49F3-85A3-032FA095E379}"/>
</file>

<file path=customXml/itemProps2.xml><?xml version="1.0" encoding="utf-8"?>
<ds:datastoreItem xmlns:ds="http://schemas.openxmlformats.org/officeDocument/2006/customXml" ds:itemID="{D1FCF208-B775-4227-91BA-9A1BB8D0BCD6}"/>
</file>

<file path=customXml/itemProps3.xml><?xml version="1.0" encoding="utf-8"?>
<ds:datastoreItem xmlns:ds="http://schemas.openxmlformats.org/officeDocument/2006/customXml" ds:itemID="{074E8283-336C-49B4-BB69-E097BCD3CD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2026-04-28T04:15:03Z</dcterms:created>
  <dcterms:modified xsi:type="dcterms:W3CDTF">2026-04-28T04:15:03Z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