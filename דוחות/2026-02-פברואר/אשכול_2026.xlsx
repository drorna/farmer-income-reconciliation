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דוחות/2026-02-פברואר/"/>
    </mc:Choice>
  </mc:AlternateContent>
  <xr:revisionPtr revIDLastSave="5" documentId="11_B8718B571266C821EB67D2A23CAD67D19FEC92D6" xr6:coauthVersionLast="47" xr6:coauthVersionMax="47" xr10:uidLastSave="{A3E71134-A239-4070-A289-80B5DA28771A}"/>
  <bookViews>
    <workbookView xWindow="-108" yWindow="-108" windowWidth="23256" windowHeight="12456" activeTab="2" xr2:uid="{00000000-000D-0000-FFFF-FFFF00000000}"/>
  </bookViews>
  <sheets>
    <sheet name="מינואר עד כה" sheetId="1" r:id="rId1"/>
    <sheet name="ינואר" sheetId="2" r:id="rId2"/>
    <sheet name="פברוא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D25" i="3"/>
  <c r="C25" i="3"/>
  <c r="B25" i="3"/>
  <c r="G24" i="3"/>
  <c r="F24" i="3"/>
  <c r="E24" i="3"/>
  <c r="D24" i="3"/>
  <c r="C24" i="3"/>
  <c r="B24" i="3"/>
  <c r="G25" i="2"/>
  <c r="F25" i="2"/>
  <c r="E25" i="2"/>
  <c r="D25" i="2"/>
  <c r="C25" i="2"/>
  <c r="B25" i="2"/>
  <c r="G24" i="2"/>
  <c r="F24" i="2"/>
  <c r="E24" i="2"/>
  <c r="D24" i="2"/>
  <c r="C24" i="2"/>
  <c r="B24" i="2"/>
  <c r="G14" i="1"/>
  <c r="F14" i="1"/>
  <c r="E14" i="1"/>
  <c r="D14" i="1"/>
  <c r="C14" i="1"/>
  <c r="B14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<sst xmlns="http://schemas.openxmlformats.org/spreadsheetml/2006/main" count="89" uniqueCount="50">
  <si>
    <t>סיכום מינואר עד פברואר 2026 – אשכול</t>
  </si>
  <si>
    <t>חודש</t>
  </si>
  <si>
    <t>ימי עבודה</t>
  </si>
  <si>
    <t>ממוצע עובדים/יום</t>
  </si>
  <si>
    <t>הכנסה (₪)</t>
  </si>
  <si>
    <t>תעריף ממשי</t>
  </si>
  <si>
    <t>ביצוע</t>
  </si>
  <si>
    <t>תקציב</t>
  </si>
  <si>
    <t>ינואר</t>
  </si>
  <si>
    <t>פברואר</t>
  </si>
  <si>
    <t>סיכום מצטבר מינואר עד פברואר</t>
  </si>
  <si>
    <t>ממוצע שעות/יום</t>
  </si>
  <si>
    <t>שעות/חניך</t>
  </si>
  <si>
    <t>תעריף (₪/ש)</t>
  </si>
  <si>
    <t>פער</t>
  </si>
  <si>
    <t>% פער</t>
  </si>
  <si>
    <t>ניתוח פערים – אשכול – ינואר 2026</t>
  </si>
  <si>
    <t>תאריך</t>
  </si>
  <si>
    <t>עובדים</t>
  </si>
  <si>
    <t>שעות כולל</t>
  </si>
  <si>
    <t>06-ינו</t>
  </si>
  <si>
    <t>07-ינו</t>
  </si>
  <si>
    <t>08-ינו</t>
  </si>
  <si>
    <t>12-ינו</t>
  </si>
  <si>
    <t>14-ינו</t>
  </si>
  <si>
    <t>15-ינו</t>
  </si>
  <si>
    <t>19-ינו</t>
  </si>
  <si>
    <t>20-ינו</t>
  </si>
  <si>
    <t>21-ינו</t>
  </si>
  <si>
    <t>22-ינו</t>
  </si>
  <si>
    <t>05-ינו</t>
  </si>
  <si>
    <t>13-ינו</t>
  </si>
  <si>
    <t>29-ינו</t>
  </si>
  <si>
    <t>01-ינו</t>
  </si>
  <si>
    <t>סיכום חודשי</t>
  </si>
  <si>
    <t>ניתוח פערים – אשכול – פברואר 2026</t>
  </si>
  <si>
    <t>11-פבר</t>
  </si>
  <si>
    <t>12-פבר</t>
  </si>
  <si>
    <t>17-פבר</t>
  </si>
  <si>
    <t>25-פבר</t>
  </si>
  <si>
    <t>09-פבר</t>
  </si>
  <si>
    <t>10-פבר</t>
  </si>
  <si>
    <t>16-פבר</t>
  </si>
  <si>
    <t>23-פבר</t>
  </si>
  <si>
    <t>24-פבר</t>
  </si>
  <si>
    <t>26-פבר</t>
  </si>
  <si>
    <t>02-פבר</t>
  </si>
  <si>
    <t>03-פבר</t>
  </si>
  <si>
    <t>04-פבר</t>
  </si>
  <si>
    <t>05-פבר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</si>
</sst>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right" vertical="center" readingOrder="2"/>
    </xf>
    <xf numFmtId="3" fontId="4" fillId="4" borderId="1" xfId="0" applyNumberFormat="1" applyFont="1" applyFill="1" applyBorder="1" applyAlignment="1">
      <alignment horizontal="center" vertical="center" readingOrder="2"/>
    </xf>
    <xf numFmtId="3" fontId="4" fillId="5" borderId="1" xfId="0" applyNumberFormat="1" applyFont="1" applyFill="1" applyBorder="1" applyAlignment="1">
      <alignment horizontal="center" vertical="center" readingOrder="2"/>
    </xf>
    <xf numFmtId="164" fontId="4" fillId="4" borderId="1" xfId="0" applyNumberFormat="1" applyFont="1" applyFill="1" applyBorder="1" applyAlignment="1">
      <alignment horizontal="center" vertical="center" readingOrder="2"/>
    </xf>
    <xf numFmtId="164" fontId="4" fillId="5" borderId="1" xfId="0" applyNumberFormat="1" applyFont="1" applyFill="1" applyBorder="1" applyAlignment="1">
      <alignment horizontal="center" vertical="center" readingOrder="2"/>
    </xf>
    <xf numFmtId="4" fontId="4" fillId="6" borderId="1" xfId="0" applyNumberFormat="1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3" fillId="4" borderId="1" xfId="0" applyFont="1" applyFill="1" applyBorder="1" applyAlignment="1">
      <alignment horizontal="right" vertical="center" readingOrder="2"/>
    </xf>
    <xf numFmtId="3" fontId="3" fillId="4" borderId="1" xfId="0" applyNumberFormat="1" applyFont="1" applyFill="1" applyBorder="1" applyAlignment="1">
      <alignment horizontal="center" vertical="center" readingOrder="2"/>
    </xf>
    <xf numFmtId="164" fontId="3" fillId="4" borderId="1" xfId="0" applyNumberFormat="1" applyFont="1" applyFill="1" applyBorder="1" applyAlignment="1">
      <alignment horizontal="center" vertical="center" readingOrder="2"/>
    </xf>
    <xf numFmtId="4" fontId="3" fillId="4" borderId="1" xfId="0" applyNumberFormat="1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right" vertical="center" readingOrder="2"/>
    </xf>
    <xf numFmtId="3" fontId="3" fillId="5" borderId="1" xfId="0" applyNumberFormat="1" applyFont="1" applyFill="1" applyBorder="1" applyAlignment="1">
      <alignment horizontal="center" vertical="center" readingOrder="2"/>
    </xf>
    <xf numFmtId="164" fontId="3" fillId="5" borderId="1" xfId="0" applyNumberFormat="1" applyFont="1" applyFill="1" applyBorder="1" applyAlignment="1">
      <alignment horizontal="center" vertical="center" readingOrder="2"/>
    </xf>
    <xf numFmtId="4" fontId="3" fillId="5" borderId="1" xfId="0" applyNumberFormat="1" applyFont="1" applyFill="1" applyBorder="1" applyAlignment="1">
      <alignment horizontal="center" vertical="center" readingOrder="2"/>
    </xf>
    <xf numFmtId="0" fontId="3" fillId="7" borderId="1" xfId="0" applyFont="1" applyFill="1" applyBorder="1" applyAlignment="1">
      <alignment horizontal="right" vertical="center" readingOrder="2"/>
    </xf>
    <xf numFmtId="3" fontId="3" fillId="7" borderId="1" xfId="0" applyNumberFormat="1" applyFont="1" applyFill="1" applyBorder="1" applyAlignment="1">
      <alignment horizontal="center" vertical="center" readingOrder="2"/>
    </xf>
    <xf numFmtId="164" fontId="3" fillId="7" borderId="1" xfId="0" applyNumberFormat="1" applyFont="1" applyFill="1" applyBorder="1" applyAlignment="1">
      <alignment horizontal="center" vertical="center" readingOrder="2"/>
    </xf>
    <xf numFmtId="4" fontId="3" fillId="7" borderId="1" xfId="0" applyNumberFormat="1" applyFont="1" applyFill="1" applyBorder="1" applyAlignment="1">
      <alignment horizontal="center" vertical="center" readingOrder="2"/>
    </xf>
    <xf numFmtId="165" fontId="3" fillId="7" borderId="1" xfId="0" applyNumberFormat="1" applyFont="1" applyFill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right" vertical="center" readingOrder="2"/>
    </xf>
    <xf numFmtId="3" fontId="4" fillId="0" borderId="1" xfId="0" applyNumberFormat="1" applyFont="1" applyBorder="1" applyAlignment="1">
      <alignment horizontal="center" vertical="center" readingOrder="2"/>
    </xf>
    <xf numFmtId="164" fontId="4" fillId="0" borderId="1" xfId="0" applyNumberFormat="1" applyFont="1" applyBorder="1" applyAlignment="1">
      <alignment horizontal="center" vertical="center" readingOrder="2"/>
    </xf>
    <xf numFmtId="4" fontId="4" fillId="0" borderId="1" xfId="0" applyNumberFormat="1" applyFont="1" applyBorder="1" applyAlignment="1">
      <alignment horizontal="center" vertical="center" readingOrder="2"/>
    </xf>
    <xf numFmtId="49" fontId="4" fillId="6" borderId="1" xfId="0" applyNumberFormat="1" applyFont="1" applyFill="1" applyBorder="1" applyAlignment="1">
      <alignment horizontal="right" vertical="center" readingOrder="2"/>
    </xf>
    <xf numFmtId="3" fontId="4" fillId="6" borderId="1" xfId="0" applyNumberFormat="1" applyFont="1" applyFill="1" applyBorder="1" applyAlignment="1">
      <alignment horizontal="center" vertical="center" readingOrder="2"/>
    </xf>
    <xf numFmtId="164" fontId="4" fillId="6" borderId="1" xfId="0" applyNumberFormat="1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rightToLeft="1" workbookViewId="0">
      <selection activeCell="F21" sqref="F21"/>
    </sheetView>
  </sheetViews>
  <sheetFormatPr defaultRowHeight="13.8" x14ac:dyDescent="0.25"/>
  <cols>
    <col min="1" max="1" width="16" customWidth="1"/>
    <col min="2" max="2" width="12" customWidth="1"/>
    <col min="3" max="5" width="14" customWidth="1"/>
    <col min="6" max="6" width="16" customWidth="1"/>
    <col min="7" max="8" width="14" customWidth="1"/>
  </cols>
  <sheetData>
    <row r="1" spans="1:8" ht="24" customHeight="1" x14ac:dyDescent="0.25">
      <c r="A1" s="33" t="s">
        <v>0</v>
      </c>
      <c r="B1" s="32"/>
      <c r="C1" s="32"/>
      <c r="D1" s="32"/>
      <c r="E1" s="32"/>
      <c r="F1" s="32"/>
      <c r="G1" s="32"/>
      <c r="H1" s="32"/>
    </row>
    <row r="2" spans="1:8" ht="18" customHeight="1" x14ac:dyDescent="0.25">
      <c r="A2" s="31" t="s">
        <v>1</v>
      </c>
      <c r="B2" s="31" t="s">
        <v>2</v>
      </c>
      <c r="C2" s="32"/>
      <c r="D2" s="31" t="s">
        <v>3</v>
      </c>
      <c r="E2" s="32"/>
      <c r="F2" s="31" t="s">
        <v>4</v>
      </c>
      <c r="G2" s="32"/>
      <c r="H2" s="31" t="s">
        <v>5</v>
      </c>
    </row>
    <row r="3" spans="1:8" ht="16.05" customHeight="1" x14ac:dyDescent="0.25">
      <c r="A3" s="32"/>
      <c r="B3" s="2" t="s">
        <v>6</v>
      </c>
      <c r="C3" s="3" t="s">
        <v>7</v>
      </c>
      <c r="D3" s="2" t="s">
        <v>6</v>
      </c>
      <c r="E3" s="3" t="s">
        <v>7</v>
      </c>
      <c r="F3" s="2" t="s">
        <v>6</v>
      </c>
      <c r="G3" s="3" t="s">
        <v>7</v>
      </c>
      <c r="H3" s="32"/>
    </row>
    <row r="4" spans="1:8" x14ac:dyDescent="0.25">
      <c r="A4" s="4" t="s">
        <v>8</v>
      </c>
      <c r="B4" s="5">
        <v>14</v>
      </c>
      <c r="C4" s="6">
        <v>17</v>
      </c>
      <c r="D4" s="7">
        <v>28.357142857142861</v>
      </c>
      <c r="E4" s="8">
        <v>40.5</v>
      </c>
      <c r="F4" s="5">
        <v>51185.533334235319</v>
      </c>
      <c r="G4" s="6">
        <v>103275</v>
      </c>
      <c r="H4" s="9">
        <v>30.2989555434702</v>
      </c>
    </row>
    <row r="5" spans="1:8" x14ac:dyDescent="0.25">
      <c r="A5" s="4" t="s">
        <v>9</v>
      </c>
      <c r="B5" s="5">
        <v>14</v>
      </c>
      <c r="C5" s="6">
        <v>14</v>
      </c>
      <c r="D5" s="7">
        <v>31.428571428571431</v>
      </c>
      <c r="E5" s="8">
        <v>40.5</v>
      </c>
      <c r="F5" s="5">
        <v>56625.500000963802</v>
      </c>
      <c r="G5" s="6">
        <v>85050</v>
      </c>
      <c r="H5" s="9">
        <v>30</v>
      </c>
    </row>
    <row r="8" spans="1:8" ht="19.95" customHeight="1" x14ac:dyDescent="0.25">
      <c r="A8" s="34" t="s">
        <v>10</v>
      </c>
      <c r="B8" s="35"/>
      <c r="C8" s="35"/>
      <c r="D8" s="35"/>
      <c r="E8" s="35"/>
      <c r="F8" s="35"/>
      <c r="G8" s="35"/>
      <c r="H8" s="35"/>
    </row>
    <row r="9" spans="1:8" ht="16.05" customHeight="1" x14ac:dyDescent="0.25">
      <c r="A9" s="10"/>
      <c r="B9" s="1" t="s">
        <v>2</v>
      </c>
      <c r="C9" s="1" t="s">
        <v>3</v>
      </c>
      <c r="D9" s="1" t="s">
        <v>11</v>
      </c>
      <c r="E9" s="1" t="s">
        <v>12</v>
      </c>
      <c r="F9" s="1" t="s">
        <v>4</v>
      </c>
      <c r="G9" s="1" t="s">
        <v>13</v>
      </c>
    </row>
    <row r="10" spans="1:8" x14ac:dyDescent="0.25">
      <c r="A10" s="11" t="s">
        <v>6</v>
      </c>
      <c r="B10" s="12">
        <v>28</v>
      </c>
      <c r="C10" s="13">
        <v>29.892857142857139</v>
      </c>
      <c r="D10" s="13">
        <v>127.7452295940579</v>
      </c>
      <c r="E10" s="13">
        <v>4.2920282298986674</v>
      </c>
      <c r="F10" s="12">
        <v>107811.0333351991</v>
      </c>
      <c r="G10" s="14">
        <v>30.141196347771761</v>
      </c>
    </row>
    <row r="11" spans="1:8" x14ac:dyDescent="0.25">
      <c r="A11" s="15" t="s">
        <v>7</v>
      </c>
      <c r="B11" s="16">
        <v>31</v>
      </c>
      <c r="C11" s="17">
        <v>40.5</v>
      </c>
      <c r="D11" s="17">
        <v>202.5</v>
      </c>
      <c r="E11" s="17">
        <v>5</v>
      </c>
      <c r="F11" s="16">
        <v>188325</v>
      </c>
      <c r="G11" s="18">
        <v>30</v>
      </c>
    </row>
    <row r="13" spans="1:8" x14ac:dyDescent="0.25">
      <c r="A13" s="19" t="s">
        <v>14</v>
      </c>
      <c r="B13" s="20">
        <f t="shared" ref="B13:G13" si="0">B10-B11</f>
        <v>-3</v>
      </c>
      <c r="C13" s="21">
        <f t="shared" si="0"/>
        <v>-10.607142857142861</v>
      </c>
      <c r="D13" s="21">
        <f t="shared" si="0"/>
        <v>-74.754770405942097</v>
      </c>
      <c r="E13" s="21">
        <f t="shared" si="0"/>
        <v>-0.70797177010133261</v>
      </c>
      <c r="F13" s="20">
        <f t="shared" si="0"/>
        <v>-80513.966664800901</v>
      </c>
      <c r="G13" s="22">
        <f t="shared" si="0"/>
        <v>0.1411963477717606</v>
      </c>
    </row>
    <row r="14" spans="1:8" x14ac:dyDescent="0.25">
      <c r="A14" s="19" t="s">
        <v>15</v>
      </c>
      <c r="B14" s="23">
        <f t="shared" ref="B14:G14" si="1">IF(B11=0,"",(B10-B11)/B11)</f>
        <v>-9.6774193548387094E-2</v>
      </c>
      <c r="C14" s="23">
        <f t="shared" si="1"/>
        <v>-0.26190476190476203</v>
      </c>
      <c r="D14" s="23">
        <f t="shared" si="1"/>
        <v>-0.36915936002934369</v>
      </c>
      <c r="E14" s="23">
        <f t="shared" si="1"/>
        <v>-0.14159435402026652</v>
      </c>
      <c r="F14" s="23">
        <f t="shared" si="1"/>
        <v>-0.42752670471154069</v>
      </c>
      <c r="G14" s="23">
        <f t="shared" si="1"/>
        <v>4.7065449257253531E-3</v>
      </c>
    </row>
  </sheetData>
  <mergeCells count="7">
    <mergeCell ref="A8:H8"/>
    <mergeCell ref="H2:H3"/>
    <mergeCell ref="F2:G2"/>
    <mergeCell ref="B2:C2"/>
    <mergeCell ref="D2:E2"/>
    <mergeCell ref="A2:A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rightToLeft="1" workbookViewId="0">
      <selection activeCell="I11" sqref="I11"/>
    </sheetView>
  </sheetViews>
  <sheetFormatPr defaultRowHeight="13.8" x14ac:dyDescent="0.25"/>
  <cols>
    <col min="1" max="1" width="14" customWidth="1"/>
    <col min="2" max="2" width="12" customWidth="1"/>
    <col min="3" max="4" width="14" customWidth="1"/>
    <col min="5" max="5" width="16" customWidth="1"/>
    <col min="6" max="6" width="14" customWidth="1"/>
    <col min="7" max="7" width="10" bestFit="1" customWidth="1"/>
  </cols>
  <sheetData>
    <row r="1" spans="1:7" ht="24" customHeight="1" x14ac:dyDescent="0.25">
      <c r="A1" s="33" t="s">
        <v>16</v>
      </c>
      <c r="B1" s="32"/>
      <c r="C1" s="32"/>
      <c r="D1" s="32"/>
      <c r="E1" s="32"/>
      <c r="F1" s="32"/>
      <c r="G1" s="32"/>
    </row>
    <row r="2" spans="1:7" ht="18" customHeight="1" x14ac:dyDescent="0.25">
      <c r="A2" s="1" t="s">
        <v>17</v>
      </c>
      <c r="B2" s="1" t="s">
        <v>18</v>
      </c>
      <c r="C2" s="1" t="s">
        <v>19</v>
      </c>
      <c r="D2" s="1" t="s">
        <v>12</v>
      </c>
      <c r="E2" s="1" t="s">
        <v>4</v>
      </c>
      <c r="F2" s="1" t="s">
        <v>13</v>
      </c>
    </row>
    <row r="3" spans="1:7" x14ac:dyDescent="0.25">
      <c r="A3" s="24" t="s">
        <v>20</v>
      </c>
      <c r="B3" s="25">
        <v>30</v>
      </c>
      <c r="C3" s="26">
        <v>120.7499999886883</v>
      </c>
      <c r="D3" s="26">
        <v>4.0249999996229437</v>
      </c>
      <c r="E3" s="25">
        <v>3622.4999996606489</v>
      </c>
      <c r="F3" s="27">
        <v>30</v>
      </c>
    </row>
    <row r="4" spans="1:7" x14ac:dyDescent="0.25">
      <c r="A4" s="28" t="s">
        <v>21</v>
      </c>
      <c r="B4" s="29">
        <v>26</v>
      </c>
      <c r="C4" s="30">
        <v>107.25000000896399</v>
      </c>
      <c r="D4" s="30">
        <v>4.1250000003447687</v>
      </c>
      <c r="E4" s="29">
        <v>3217.5000002689189</v>
      </c>
      <c r="F4" s="9">
        <v>30</v>
      </c>
    </row>
    <row r="5" spans="1:7" x14ac:dyDescent="0.25">
      <c r="A5" s="24" t="s">
        <v>22</v>
      </c>
      <c r="B5" s="25">
        <v>28</v>
      </c>
      <c r="C5" s="26">
        <v>124.5000000032596</v>
      </c>
      <c r="D5" s="26">
        <v>4.4464285715449856</v>
      </c>
      <c r="E5" s="25">
        <v>3735.0000000977889</v>
      </c>
      <c r="F5" s="27">
        <v>30</v>
      </c>
    </row>
    <row r="6" spans="1:7" x14ac:dyDescent="0.25">
      <c r="A6" s="28" t="s">
        <v>23</v>
      </c>
      <c r="B6" s="29">
        <v>29</v>
      </c>
      <c r="C6" s="30">
        <v>122.83333333529301</v>
      </c>
      <c r="D6" s="30">
        <v>4.2356321839756204</v>
      </c>
      <c r="E6" s="29">
        <v>3685.0000000587902</v>
      </c>
      <c r="F6" s="9">
        <v>30</v>
      </c>
    </row>
    <row r="7" spans="1:7" x14ac:dyDescent="0.25">
      <c r="A7" s="24" t="s">
        <v>24</v>
      </c>
      <c r="B7" s="25">
        <v>27</v>
      </c>
      <c r="C7" s="26">
        <v>122.5833333479241</v>
      </c>
      <c r="D7" s="26">
        <v>4.5401234573305214</v>
      </c>
      <c r="E7" s="25">
        <v>3677.5000004377221</v>
      </c>
      <c r="F7" s="27">
        <v>30</v>
      </c>
    </row>
    <row r="8" spans="1:7" x14ac:dyDescent="0.25">
      <c r="A8" s="28" t="s">
        <v>25</v>
      </c>
      <c r="B8" s="29">
        <v>23</v>
      </c>
      <c r="C8" s="30">
        <v>105.2833333419791</v>
      </c>
      <c r="D8" s="30">
        <v>4.5775362322599618</v>
      </c>
      <c r="E8" s="29">
        <v>3158.5000002593729</v>
      </c>
      <c r="F8" s="9">
        <v>30</v>
      </c>
    </row>
    <row r="9" spans="1:7" x14ac:dyDescent="0.25">
      <c r="A9" s="24" t="s">
        <v>26</v>
      </c>
      <c r="B9" s="25">
        <v>27</v>
      </c>
      <c r="C9" s="26">
        <v>119.2500000030074</v>
      </c>
      <c r="D9" s="26">
        <v>4.4166666667780516</v>
      </c>
      <c r="E9" s="25">
        <v>3577.5000000902219</v>
      </c>
      <c r="F9" s="27">
        <v>30</v>
      </c>
    </row>
    <row r="10" spans="1:7" x14ac:dyDescent="0.25">
      <c r="A10" s="28" t="s">
        <v>27</v>
      </c>
      <c r="B10" s="29">
        <v>46</v>
      </c>
      <c r="C10" s="30">
        <v>199.16666665137751</v>
      </c>
      <c r="D10" s="30">
        <v>4.329710144595162</v>
      </c>
      <c r="E10" s="29">
        <v>5974.9999995413236</v>
      </c>
      <c r="F10" s="9">
        <v>30</v>
      </c>
    </row>
    <row r="11" spans="1:7" x14ac:dyDescent="0.25">
      <c r="A11" s="24" t="s">
        <v>28</v>
      </c>
      <c r="B11" s="25">
        <v>33</v>
      </c>
      <c r="C11" s="26">
        <v>159.09999999547921</v>
      </c>
      <c r="D11" s="26">
        <v>4.8212121210751278</v>
      </c>
      <c r="E11" s="25">
        <v>4772.9999998643762</v>
      </c>
      <c r="F11" s="27">
        <v>30</v>
      </c>
    </row>
    <row r="12" spans="1:7" x14ac:dyDescent="0.25">
      <c r="A12" s="28" t="s">
        <v>29</v>
      </c>
      <c r="B12" s="29">
        <v>37</v>
      </c>
      <c r="C12" s="30">
        <v>152.60000001028331</v>
      </c>
      <c r="D12" s="30">
        <v>4.1243243246022523</v>
      </c>
      <c r="E12" s="29">
        <v>4578.0000003085006</v>
      </c>
      <c r="F12" s="9">
        <v>30</v>
      </c>
    </row>
    <row r="13" spans="1:7" x14ac:dyDescent="0.25">
      <c r="A13" s="24" t="s">
        <v>30</v>
      </c>
      <c r="B13" s="25">
        <v>17</v>
      </c>
      <c r="C13" s="26">
        <v>75.166666677745525</v>
      </c>
      <c r="D13" s="26">
        <v>4.421568628102678</v>
      </c>
      <c r="E13" s="25">
        <v>2255.0000003323662</v>
      </c>
      <c r="F13" s="27">
        <v>30</v>
      </c>
    </row>
    <row r="14" spans="1:7" x14ac:dyDescent="0.25">
      <c r="A14" s="28" t="s">
        <v>31</v>
      </c>
      <c r="B14" s="29">
        <v>24</v>
      </c>
      <c r="C14" s="30">
        <v>74.499999994004611</v>
      </c>
      <c r="D14" s="30">
        <v>3.1041666664168588</v>
      </c>
      <c r="E14" s="29">
        <v>2234.9999998201379</v>
      </c>
      <c r="F14" s="9">
        <v>30</v>
      </c>
    </row>
    <row r="15" spans="1:7" x14ac:dyDescent="0.25">
      <c r="A15" s="24" t="s">
        <v>32</v>
      </c>
      <c r="B15" s="25">
        <v>34</v>
      </c>
      <c r="C15" s="26">
        <v>131.03309523809531</v>
      </c>
      <c r="D15" s="26">
        <v>3.8539145658263312</v>
      </c>
      <c r="E15" s="25">
        <v>4436.0333333333328</v>
      </c>
      <c r="F15" s="27">
        <v>33.854297078709664</v>
      </c>
    </row>
    <row r="16" spans="1:7" x14ac:dyDescent="0.25">
      <c r="A16" s="28" t="s">
        <v>33</v>
      </c>
      <c r="B16" s="29">
        <v>16</v>
      </c>
      <c r="C16" s="30">
        <v>75.333333338727243</v>
      </c>
      <c r="D16" s="30">
        <v>4.7083333336704527</v>
      </c>
      <c r="E16" s="29">
        <v>2260.0000001618168</v>
      </c>
      <c r="F16" s="9">
        <v>30</v>
      </c>
    </row>
    <row r="19" spans="1:7" ht="18" customHeight="1" x14ac:dyDescent="0.25">
      <c r="A19" s="34" t="s">
        <v>34</v>
      </c>
      <c r="B19" s="35"/>
      <c r="C19" s="35"/>
      <c r="D19" s="35"/>
      <c r="E19" s="35"/>
      <c r="F19" s="35"/>
      <c r="G19" s="35"/>
    </row>
    <row r="20" spans="1:7" ht="16.05" customHeight="1" x14ac:dyDescent="0.25">
      <c r="A20" s="10"/>
      <c r="B20" s="1" t="s">
        <v>2</v>
      </c>
      <c r="C20" s="1" t="s">
        <v>3</v>
      </c>
      <c r="D20" s="1" t="s">
        <v>11</v>
      </c>
      <c r="E20" s="1" t="s">
        <v>12</v>
      </c>
      <c r="F20" s="1" t="s">
        <v>4</v>
      </c>
      <c r="G20" s="1" t="s">
        <v>13</v>
      </c>
    </row>
    <row r="21" spans="1:7" x14ac:dyDescent="0.25">
      <c r="A21" s="11" t="s">
        <v>6</v>
      </c>
      <c r="B21" s="12">
        <v>14</v>
      </c>
      <c r="C21" s="13">
        <v>28.357142857142861</v>
      </c>
      <c r="D21" s="13">
        <v>120.667840138202</v>
      </c>
      <c r="E21" s="13">
        <v>4.2664012068675508</v>
      </c>
      <c r="F21" s="12">
        <v>51185.533334235319</v>
      </c>
      <c r="G21" s="14">
        <v>30.2989555434702</v>
      </c>
    </row>
    <row r="22" spans="1:7" x14ac:dyDescent="0.25">
      <c r="A22" s="15" t="s">
        <v>7</v>
      </c>
      <c r="B22" s="16">
        <v>17</v>
      </c>
      <c r="C22" s="17">
        <v>40.5</v>
      </c>
      <c r="D22" s="17">
        <v>202.5</v>
      </c>
      <c r="E22" s="17">
        <v>5</v>
      </c>
      <c r="F22" s="16">
        <v>103275</v>
      </c>
      <c r="G22" s="18">
        <v>30</v>
      </c>
    </row>
    <row r="24" spans="1:7" x14ac:dyDescent="0.25">
      <c r="A24" s="19" t="s">
        <v>14</v>
      </c>
      <c r="B24" s="20">
        <f t="shared" ref="B24:G24" si="0">B21-B22</f>
        <v>-3</v>
      </c>
      <c r="C24" s="21">
        <f t="shared" si="0"/>
        <v>-12.142857142857139</v>
      </c>
      <c r="D24" s="21">
        <f t="shared" si="0"/>
        <v>-81.832159861798004</v>
      </c>
      <c r="E24" s="21">
        <f t="shared" si="0"/>
        <v>-0.73359879313244925</v>
      </c>
      <c r="F24" s="20">
        <f t="shared" si="0"/>
        <v>-52089.466665764681</v>
      </c>
      <c r="G24" s="22">
        <f t="shared" si="0"/>
        <v>0.29895554347019981</v>
      </c>
    </row>
    <row r="25" spans="1:7" x14ac:dyDescent="0.25">
      <c r="A25" s="19" t="s">
        <v>15</v>
      </c>
      <c r="B25" s="23">
        <f t="shared" ref="B25:G25" si="1">IF(B22=0,"",(B21-B22)/B22)</f>
        <v>-0.17647058823529413</v>
      </c>
      <c r="C25" s="23">
        <f t="shared" si="1"/>
        <v>-0.29982363315696636</v>
      </c>
      <c r="D25" s="23">
        <f t="shared" si="1"/>
        <v>-0.40410943141628647</v>
      </c>
      <c r="E25" s="23">
        <f t="shared" si="1"/>
        <v>-0.14671975862648984</v>
      </c>
      <c r="F25" s="23">
        <f t="shared" si="1"/>
        <v>-0.5043763414743615</v>
      </c>
      <c r="G25" s="23">
        <f t="shared" si="1"/>
        <v>9.9651847823399933E-3</v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rightToLeft="1" tabSelected="1" workbookViewId="0">
      <selection activeCell="I12" sqref="I12"/>
    </sheetView>
  </sheetViews>
  <sheetFormatPr defaultRowHeight="13.8" x14ac:dyDescent="0.25"/>
  <cols>
    <col min="1" max="1" width="14" customWidth="1"/>
    <col min="2" max="2" width="12" customWidth="1"/>
    <col min="3" max="4" width="14" customWidth="1"/>
    <col min="5" max="5" width="16" customWidth="1"/>
    <col min="6" max="6" width="14" customWidth="1"/>
    <col min="7" max="7" width="10" bestFit="1" customWidth="1"/>
  </cols>
  <sheetData>
    <row r="1" spans="1:7" ht="24" customHeight="1" x14ac:dyDescent="0.25">
      <c r="A1" s="33" t="s">
        <v>35</v>
      </c>
      <c r="B1" s="32"/>
      <c r="C1" s="32"/>
      <c r="D1" s="32"/>
      <c r="E1" s="32"/>
      <c r="F1" s="32"/>
      <c r="G1" s="32"/>
    </row>
    <row r="2" spans="1:7" ht="18" customHeight="1" x14ac:dyDescent="0.25">
      <c r="A2" s="1" t="s">
        <v>17</v>
      </c>
      <c r="B2" s="1" t="s">
        <v>18</v>
      </c>
      <c r="C2" s="1" t="s">
        <v>19</v>
      </c>
      <c r="D2" s="1" t="s">
        <v>12</v>
      </c>
      <c r="E2" s="1" t="s">
        <v>4</v>
      </c>
      <c r="F2" s="1" t="s">
        <v>13</v>
      </c>
    </row>
    <row r="3" spans="1:7" x14ac:dyDescent="0.25">
      <c r="A3" s="24" t="s">
        <v>36</v>
      </c>
      <c r="B3" s="25">
        <v>31</v>
      </c>
      <c r="C3" s="26">
        <v>130.6833333354443</v>
      </c>
      <c r="D3" s="26">
        <v>4.2155913979175592</v>
      </c>
      <c r="E3" s="25">
        <v>3920.5000000633299</v>
      </c>
      <c r="F3" s="27">
        <v>30</v>
      </c>
    </row>
    <row r="4" spans="1:7" x14ac:dyDescent="0.25">
      <c r="A4" s="28" t="s">
        <v>37</v>
      </c>
      <c r="B4" s="29">
        <v>30</v>
      </c>
      <c r="C4" s="30">
        <v>136.51666667195971</v>
      </c>
      <c r="D4" s="30">
        <v>4.5505555557319894</v>
      </c>
      <c r="E4" s="29">
        <v>4095.50000015879</v>
      </c>
      <c r="F4" s="9">
        <v>30</v>
      </c>
    </row>
    <row r="5" spans="1:7" x14ac:dyDescent="0.25">
      <c r="A5" s="24" t="s">
        <v>38</v>
      </c>
      <c r="B5" s="25">
        <v>38</v>
      </c>
      <c r="C5" s="26">
        <v>176.0500000282191</v>
      </c>
      <c r="D5" s="26">
        <v>4.6328947375847127</v>
      </c>
      <c r="E5" s="25">
        <v>5281.5000008465722</v>
      </c>
      <c r="F5" s="27">
        <v>30</v>
      </c>
    </row>
    <row r="6" spans="1:7" x14ac:dyDescent="0.25">
      <c r="A6" s="28" t="s">
        <v>39</v>
      </c>
      <c r="B6" s="29">
        <v>34</v>
      </c>
      <c r="C6" s="30">
        <v>162.50000001257291</v>
      </c>
      <c r="D6" s="30">
        <v>4.7794117650756718</v>
      </c>
      <c r="E6" s="29">
        <v>4875.0000003771856</v>
      </c>
      <c r="F6" s="9">
        <v>30</v>
      </c>
    </row>
    <row r="7" spans="1:7" x14ac:dyDescent="0.25">
      <c r="A7" s="24" t="s">
        <v>40</v>
      </c>
      <c r="B7" s="25">
        <v>28</v>
      </c>
      <c r="C7" s="26">
        <v>131.53333333192859</v>
      </c>
      <c r="D7" s="26">
        <v>4.6976190475688782</v>
      </c>
      <c r="E7" s="25">
        <v>3945.9999999578581</v>
      </c>
      <c r="F7" s="27">
        <v>30</v>
      </c>
    </row>
    <row r="8" spans="1:7" x14ac:dyDescent="0.25">
      <c r="A8" s="28" t="s">
        <v>41</v>
      </c>
      <c r="B8" s="29">
        <v>34</v>
      </c>
      <c r="C8" s="30">
        <v>161.49999998626299</v>
      </c>
      <c r="D8" s="30">
        <v>4.7499999995959703</v>
      </c>
      <c r="E8" s="29">
        <v>4844.9999995878898</v>
      </c>
      <c r="F8" s="9">
        <v>30</v>
      </c>
    </row>
    <row r="9" spans="1:7" x14ac:dyDescent="0.25">
      <c r="A9" s="24" t="s">
        <v>42</v>
      </c>
      <c r="B9" s="25">
        <v>22</v>
      </c>
      <c r="C9" s="26">
        <v>105.8166666708421</v>
      </c>
      <c r="D9" s="26">
        <v>4.8098484850382768</v>
      </c>
      <c r="E9" s="25">
        <v>3174.5000001252629</v>
      </c>
      <c r="F9" s="27">
        <v>30</v>
      </c>
    </row>
    <row r="10" spans="1:7" x14ac:dyDescent="0.25">
      <c r="A10" s="28" t="s">
        <v>43</v>
      </c>
      <c r="B10" s="29">
        <v>27</v>
      </c>
      <c r="C10" s="30">
        <v>122.16666663810609</v>
      </c>
      <c r="D10" s="30">
        <v>4.5246913569668932</v>
      </c>
      <c r="E10" s="29">
        <v>3664.9999991431828</v>
      </c>
      <c r="F10" s="9">
        <v>30</v>
      </c>
    </row>
    <row r="11" spans="1:7" x14ac:dyDescent="0.25">
      <c r="A11" s="24" t="s">
        <v>44</v>
      </c>
      <c r="B11" s="25">
        <v>28</v>
      </c>
      <c r="C11" s="26">
        <v>87.83333333930932</v>
      </c>
      <c r="D11" s="26">
        <v>3.1369047621181898</v>
      </c>
      <c r="E11" s="25">
        <v>2635.0000001792801</v>
      </c>
      <c r="F11" s="27">
        <v>30</v>
      </c>
    </row>
    <row r="12" spans="1:7" x14ac:dyDescent="0.25">
      <c r="A12" s="28" t="s">
        <v>45</v>
      </c>
      <c r="B12" s="29">
        <v>30</v>
      </c>
      <c r="C12" s="30">
        <v>135.2166666935664</v>
      </c>
      <c r="D12" s="30">
        <v>4.5072222231188794</v>
      </c>
      <c r="E12" s="29">
        <v>4056.500000806991</v>
      </c>
      <c r="F12" s="9">
        <v>30</v>
      </c>
    </row>
    <row r="13" spans="1:7" x14ac:dyDescent="0.25">
      <c r="A13" s="24" t="s">
        <v>46</v>
      </c>
      <c r="B13" s="25">
        <v>24</v>
      </c>
      <c r="C13" s="26">
        <v>110.250000001397</v>
      </c>
      <c r="D13" s="26">
        <v>4.5937500000582077</v>
      </c>
      <c r="E13" s="25">
        <v>3307.50000004191</v>
      </c>
      <c r="F13" s="27">
        <v>30</v>
      </c>
    </row>
    <row r="14" spans="1:7" x14ac:dyDescent="0.25">
      <c r="A14" s="28" t="s">
        <v>47</v>
      </c>
      <c r="B14" s="29">
        <v>38</v>
      </c>
      <c r="C14" s="30">
        <v>141.4166666747187</v>
      </c>
      <c r="D14" s="30">
        <v>3.7214912282820718</v>
      </c>
      <c r="E14" s="29">
        <v>4242.5000002415618</v>
      </c>
      <c r="F14" s="9">
        <v>30</v>
      </c>
    </row>
    <row r="15" spans="1:7" x14ac:dyDescent="0.25">
      <c r="A15" s="24" t="s">
        <v>48</v>
      </c>
      <c r="B15" s="25">
        <v>38</v>
      </c>
      <c r="C15" s="26">
        <v>165.75000000459841</v>
      </c>
      <c r="D15" s="26">
        <v>4.3618421053841683</v>
      </c>
      <c r="E15" s="25">
        <v>4972.5000001379522</v>
      </c>
      <c r="F15" s="27">
        <v>30</v>
      </c>
    </row>
    <row r="16" spans="1:7" x14ac:dyDescent="0.25">
      <c r="A16" s="28" t="s">
        <v>49</v>
      </c>
      <c r="B16" s="29">
        <v>38</v>
      </c>
      <c r="C16" s="30">
        <v>120.2833333098679</v>
      </c>
      <c r="D16" s="30">
        <v>3.165350876575471</v>
      </c>
      <c r="E16" s="29">
        <v>3608.499999296037</v>
      </c>
      <c r="F16" s="9">
        <v>30</v>
      </c>
    </row>
    <row r="19" spans="1:7" ht="18" customHeight="1" x14ac:dyDescent="0.25">
      <c r="A19" s="34" t="s">
        <v>34</v>
      </c>
      <c r="B19" s="35"/>
      <c r="C19" s="35"/>
      <c r="D19" s="35"/>
      <c r="E19" s="35"/>
      <c r="F19" s="35"/>
      <c r="G19" s="35"/>
    </row>
    <row r="20" spans="1:7" ht="16.05" customHeight="1" x14ac:dyDescent="0.25">
      <c r="A20" s="10"/>
      <c r="B20" s="1" t="s">
        <v>2</v>
      </c>
      <c r="C20" s="1" t="s">
        <v>3</v>
      </c>
      <c r="D20" s="1" t="s">
        <v>11</v>
      </c>
      <c r="E20" s="1" t="s">
        <v>12</v>
      </c>
      <c r="F20" s="1" t="s">
        <v>4</v>
      </c>
      <c r="G20" s="1" t="s">
        <v>13</v>
      </c>
    </row>
    <row r="21" spans="1:7" x14ac:dyDescent="0.25">
      <c r="A21" s="11" t="s">
        <v>6</v>
      </c>
      <c r="B21" s="12">
        <v>14</v>
      </c>
      <c r="C21" s="13">
        <v>31.428571428571431</v>
      </c>
      <c r="D21" s="13">
        <v>134.82261904991381</v>
      </c>
      <c r="E21" s="13">
        <v>4.3176552529297814</v>
      </c>
      <c r="F21" s="12">
        <v>56625.500000963802</v>
      </c>
      <c r="G21" s="14">
        <v>30</v>
      </c>
    </row>
    <row r="22" spans="1:7" x14ac:dyDescent="0.25">
      <c r="A22" s="15" t="s">
        <v>7</v>
      </c>
      <c r="B22" s="16">
        <v>14</v>
      </c>
      <c r="C22" s="17">
        <v>40.5</v>
      </c>
      <c r="D22" s="17">
        <v>202.5</v>
      </c>
      <c r="E22" s="17">
        <v>5</v>
      </c>
      <c r="F22" s="16">
        <v>85050</v>
      </c>
      <c r="G22" s="18">
        <v>30</v>
      </c>
    </row>
    <row r="24" spans="1:7" x14ac:dyDescent="0.25">
      <c r="A24" s="19" t="s">
        <v>14</v>
      </c>
      <c r="B24" s="20">
        <f t="shared" ref="B24:G24" si="0">B21-B22</f>
        <v>0</v>
      </c>
      <c r="C24" s="21">
        <f t="shared" si="0"/>
        <v>-9.0714285714285694</v>
      </c>
      <c r="D24" s="21">
        <f t="shared" si="0"/>
        <v>-67.677380950086189</v>
      </c>
      <c r="E24" s="21">
        <f t="shared" si="0"/>
        <v>-0.68234474707021864</v>
      </c>
      <c r="F24" s="20">
        <f t="shared" si="0"/>
        <v>-28424.499999036198</v>
      </c>
      <c r="G24" s="22">
        <f t="shared" si="0"/>
        <v>0</v>
      </c>
    </row>
    <row r="25" spans="1:7" x14ac:dyDescent="0.25">
      <c r="A25" s="19" t="s">
        <v>15</v>
      </c>
      <c r="B25" s="23">
        <f t="shared" ref="B25:G25" si="1">IF(B22=0,"",(B21-B22)/B22)</f>
        <v>0</v>
      </c>
      <c r="C25" s="23">
        <f t="shared" si="1"/>
        <v>-0.22398589065255728</v>
      </c>
      <c r="D25" s="23">
        <f t="shared" si="1"/>
        <v>-0.33420928864240096</v>
      </c>
      <c r="E25" s="23">
        <f t="shared" si="1"/>
        <v>-0.13646894941404372</v>
      </c>
      <c r="F25" s="23">
        <f t="shared" si="1"/>
        <v>-0.3342092886424009</v>
      </c>
      <c r="G25" s="23">
        <f t="shared" si="1"/>
        <v>0</v>
      </c>
    </row>
  </sheetData>
  <mergeCells count="2">
    <mergeCell ref="A19:G19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A75E2FC3-89B7-46B8-99DC-E722C36057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E35541-D7B4-451A-9F65-BB301EDDF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CDEFFA-9280-4DF6-9EA3-8C7B9E7DA2F4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מינואר עד כה</vt:lpstr>
      <vt:lpstr>ינואר</vt:lpstr>
      <vt:lpstr>פברואר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דרור נדל</cp:lastModifiedBy>
  <dcterms:created xsi:type="dcterms:W3CDTF">2026-03-31T11:03:00Z</dcterms:created>
  <dcterms:modified xsi:type="dcterms:W3CDTF">2026-04-14T08:02:18Z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