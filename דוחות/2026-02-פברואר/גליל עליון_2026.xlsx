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נואר עד כה" sheetId="1" state="visible" r:id="rId1"/>
    <sheet name="ינואר" sheetId="2" state="visible" r:id="rId2"/>
    <sheet name="פברוא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22" customWidth="1" min="10" max="10"/>
    <col width="22" customWidth="1" min="11" max="11"/>
  </cols>
  <sheetData>
    <row r="1" ht="28" customHeight="1">
      <c r="A1" s="1" t="inlineStr">
        <is>
          <t>סיכום מינואר עד פברואר 2026 – גליל עליון</t>
        </is>
      </c>
    </row>
    <row r="2" ht="32" customHeight="1">
      <c r="A2" s="2" t="inlineStr">
        <is>
          <t>חודש</t>
        </is>
      </c>
      <c r="B2" s="3" t="inlineStr">
        <is>
          <t>ימי עבודה</t>
        </is>
      </c>
      <c r="D2" s="3" t="inlineStr">
        <is>
          <t>ממוצע עובדים/יום</t>
        </is>
      </c>
      <c r="F2" s="3" t="inlineStr">
        <is>
          <t>שעות/חניך</t>
        </is>
      </c>
      <c r="H2" s="3" t="inlineStr">
        <is>
          <t>הכנסה (₪)</t>
        </is>
      </c>
      <c r="J2" s="3" t="inlineStr">
        <is>
          <t>תעריף ממוצע בפועל (₪/ש)</t>
        </is>
      </c>
    </row>
    <row r="3" ht="16" customHeight="1">
      <c r="B3" s="4" t="inlineStr">
        <is>
          <t>ביצוע</t>
        </is>
      </c>
      <c r="C3" s="5" t="inlineStr">
        <is>
          <t>תקציב</t>
        </is>
      </c>
      <c r="D3" s="4" t="inlineStr">
        <is>
          <t>ביצוע</t>
        </is>
      </c>
      <c r="E3" s="5" t="inlineStr">
        <is>
          <t>תקציב</t>
        </is>
      </c>
      <c r="F3" s="4" t="inlineStr">
        <is>
          <t>ביצוע</t>
        </is>
      </c>
      <c r="G3" s="5" t="inlineStr">
        <is>
          <t>תקציב</t>
        </is>
      </c>
      <c r="H3" s="4" t="inlineStr">
        <is>
          <t>ביצוע</t>
        </is>
      </c>
      <c r="I3" s="5" t="inlineStr">
        <is>
          <t>תקציב</t>
        </is>
      </c>
      <c r="J3" s="4" t="inlineStr">
        <is>
          <t>ביצוע</t>
        </is>
      </c>
      <c r="K3" s="5" t="inlineStr">
        <is>
          <t>תקציב</t>
        </is>
      </c>
    </row>
    <row r="4">
      <c r="A4" s="6" t="inlineStr">
        <is>
          <t>ינואר</t>
        </is>
      </c>
      <c r="B4" s="7" t="n">
        <v>10</v>
      </c>
      <c r="C4" s="8" t="n">
        <v>13</v>
      </c>
      <c r="D4" s="9" t="n">
        <v>17.8</v>
      </c>
      <c r="E4" s="10" t="n">
        <v>17.6</v>
      </c>
      <c r="F4" s="9" t="n">
        <v>0.5142515398147001</v>
      </c>
      <c r="G4" s="10" t="n">
        <v>5</v>
      </c>
      <c r="H4" s="7" t="n">
        <v>825.9166666991659</v>
      </c>
      <c r="I4" s="8" t="n">
        <v>40040</v>
      </c>
      <c r="J4" s="11" t="n">
        <v>9.109374999999758</v>
      </c>
      <c r="K4" s="12" t="n">
        <v>35</v>
      </c>
    </row>
    <row r="5">
      <c r="A5" s="6" t="inlineStr">
        <is>
          <t>פברואר</t>
        </is>
      </c>
      <c r="B5" s="7" t="n">
        <v>13</v>
      </c>
      <c r="C5" s="8" t="n">
        <v>16</v>
      </c>
      <c r="D5" s="9" t="n">
        <v>17.69230769230769</v>
      </c>
      <c r="E5" s="10" t="n">
        <v>17.6</v>
      </c>
      <c r="F5" s="9" t="n">
        <v>4.349245223918886</v>
      </c>
      <c r="G5" s="10" t="n">
        <v>5</v>
      </c>
      <c r="H5" s="7" t="n">
        <v>33948.75000164</v>
      </c>
      <c r="I5" s="8" t="n">
        <v>49280</v>
      </c>
      <c r="J5" s="11" t="n">
        <v>33.94874999983782</v>
      </c>
      <c r="K5" s="12" t="n">
        <v>35</v>
      </c>
    </row>
    <row r="8" ht="22" customHeight="1">
      <c r="A8" s="13" t="inlineStr">
        <is>
          <t>סיכום מצטבר מינואר עד פברואר</t>
        </is>
      </c>
    </row>
    <row r="9" ht="36" customHeight="1">
      <c r="A9" s="14" t="inlineStr"/>
      <c r="B9" s="3" t="inlineStr">
        <is>
          <t>ימי עבודה</t>
        </is>
      </c>
      <c r="C9" s="3" t="inlineStr">
        <is>
          <t>ממוצע עובדים/יום</t>
        </is>
      </c>
      <c r="D9" s="3" t="inlineStr">
        <is>
          <t>ממוצע שעות/יום</t>
        </is>
      </c>
      <c r="E9" s="3" t="inlineStr">
        <is>
          <t>שעות/חניך</t>
        </is>
      </c>
      <c r="F9" s="3" t="inlineStr">
        <is>
          <t>הכנסה (₪)</t>
        </is>
      </c>
      <c r="G9" s="3" t="inlineStr">
        <is>
          <t>תעריף ממוצע בפועל (₪/ש)</t>
        </is>
      </c>
    </row>
    <row r="10">
      <c r="A10" s="15" t="inlineStr">
        <is>
          <t>ביצוע</t>
        </is>
      </c>
      <c r="B10" s="16" t="n">
        <v>23</v>
      </c>
      <c r="C10" s="17" t="n">
        <v>17.73913043478261</v>
      </c>
      <c r="D10" s="17" t="n">
        <v>47.42028985753574</v>
      </c>
      <c r="E10" s="17" t="n">
        <v>2.681856665612718</v>
      </c>
      <c r="F10" s="16" t="n">
        <v>34774.66666833917</v>
      </c>
      <c r="G10" s="18" t="n">
        <v>31.88386308056183</v>
      </c>
    </row>
    <row r="11">
      <c r="A11" s="19" t="inlineStr">
        <is>
          <t>תקציב</t>
        </is>
      </c>
      <c r="B11" s="20" t="n">
        <v>29</v>
      </c>
      <c r="C11" s="21" t="n">
        <v>17.6</v>
      </c>
      <c r="D11" s="21" t="n">
        <v>88</v>
      </c>
      <c r="E11" s="21" t="n">
        <v>5</v>
      </c>
      <c r="F11" s="20" t="n">
        <v>89320</v>
      </c>
      <c r="G11" s="22" t="n">
        <v>35</v>
      </c>
    </row>
    <row r="13">
      <c r="A13" s="23" t="inlineStr">
        <is>
          <t>פער</t>
        </is>
      </c>
      <c r="B13" s="24">
        <f>B10-B11</f>
        <v/>
      </c>
      <c r="C13" s="25">
        <f>C10-C11</f>
        <v/>
      </c>
      <c r="D13" s="25">
        <f>D10-D11</f>
        <v/>
      </c>
      <c r="E13" s="25">
        <f>E10-E11</f>
        <v/>
      </c>
      <c r="F13" s="24">
        <f>F10-F11</f>
        <v/>
      </c>
      <c r="G13" s="26">
        <f>G10-G11</f>
        <v/>
      </c>
    </row>
    <row r="14">
      <c r="A14" s="23" t="inlineStr">
        <is>
          <t>% פער</t>
        </is>
      </c>
      <c r="B14" s="27">
        <f>IF(B11=0,"",(B10-B11)/B11)</f>
        <v/>
      </c>
      <c r="C14" s="27">
        <f>IF(C11=0,"",(C10-C11)/C11)</f>
        <v/>
      </c>
      <c r="D14" s="27">
        <f>IF(D11=0,"",(D10-D11)/D11)</f>
        <v/>
      </c>
      <c r="E14" s="27">
        <f>IF(E11=0,"",(E10-E11)/E11)</f>
        <v/>
      </c>
      <c r="F14" s="27">
        <f>IF(F11=0,"",(F10-F11)/F11)</f>
        <v/>
      </c>
      <c r="G14" s="27">
        <f>IF(G11=0,"",(G10-G11)/G11)</f>
        <v/>
      </c>
    </row>
  </sheetData>
  <mergeCells count="8">
    <mergeCell ref="F2:G2"/>
    <mergeCell ref="B2:C2"/>
    <mergeCell ref="H2:I2"/>
    <mergeCell ref="D2:E2"/>
    <mergeCell ref="A8:G8"/>
    <mergeCell ref="J2:K2"/>
    <mergeCell ref="A2:A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גליל עליון – ינואר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14-ינו</t>
        </is>
      </c>
      <c r="B3" s="29" t="n">
        <v>19</v>
      </c>
      <c r="C3" s="30" t="n">
        <v>9.083333334361669</v>
      </c>
      <c r="D3" s="30" t="n">
        <v>0.4780701754927194</v>
      </c>
      <c r="E3" s="29" t="n">
        <v>86.33333334280178</v>
      </c>
      <c r="F3" s="31" t="n">
        <v>9.504587155929675</v>
      </c>
    </row>
    <row r="4">
      <c r="A4" s="32" t="inlineStr">
        <is>
          <t>15-ינו</t>
        </is>
      </c>
      <c r="B4" s="33" t="n">
        <v>18</v>
      </c>
      <c r="C4" s="34" t="n">
        <v>9.333333335176576</v>
      </c>
      <c r="D4" s="34" t="n">
        <v>0.5185185186209209</v>
      </c>
      <c r="E4" s="33" t="n">
        <v>83.83333334850613</v>
      </c>
      <c r="F4" s="35" t="n">
        <v>8.982142856994628</v>
      </c>
    </row>
    <row r="5">
      <c r="A5" s="28" t="inlineStr">
        <is>
          <t>19-ינו</t>
        </is>
      </c>
      <c r="B5" s="29" t="n">
        <v>20</v>
      </c>
      <c r="C5" s="30" t="n">
        <v>9.500000000814907</v>
      </c>
      <c r="D5" s="30" t="n">
        <v>0.4750000000407454</v>
      </c>
      <c r="E5" s="29" t="n">
        <v>95.00000000325963</v>
      </c>
      <c r="F5" s="31" t="n">
        <v>9.999999999485322</v>
      </c>
    </row>
    <row r="6">
      <c r="A6" s="32" t="inlineStr">
        <is>
          <t>20-ינו</t>
        </is>
      </c>
      <c r="B6" s="33" t="n">
        <v>17</v>
      </c>
      <c r="C6" s="34" t="n">
        <v>9.25</v>
      </c>
      <c r="D6" s="34" t="n">
        <v>0.5441176470588235</v>
      </c>
      <c r="E6" s="33" t="n">
        <v>78.75000000162981</v>
      </c>
      <c r="F6" s="35" t="n">
        <v>8.513513513689709</v>
      </c>
    </row>
    <row r="7">
      <c r="A7" s="28" t="inlineStr">
        <is>
          <t>21-ינו</t>
        </is>
      </c>
      <c r="B7" s="29" t="n">
        <v>16</v>
      </c>
      <c r="C7" s="30" t="n">
        <v>9.000000001629815</v>
      </c>
      <c r="D7" s="30" t="n">
        <v>0.5625000001018634</v>
      </c>
      <c r="E7" s="29" t="n">
        <v>72.50000001466833</v>
      </c>
      <c r="F7" s="31" t="n">
        <v>8.055555555726585</v>
      </c>
    </row>
    <row r="8">
      <c r="A8" s="32" t="inlineStr">
        <is>
          <t>22-ינו</t>
        </is>
      </c>
      <c r="B8" s="33" t="n">
        <v>14</v>
      </c>
      <c r="C8" s="34" t="n">
        <v>8.749999998370185</v>
      </c>
      <c r="D8" s="34" t="n">
        <v>0.6249999998835847</v>
      </c>
      <c r="E8" s="33" t="n">
        <v>61.2499999885913</v>
      </c>
      <c r="F8" s="35" t="n">
        <v>7</v>
      </c>
    </row>
    <row r="9">
      <c r="A9" s="28" t="inlineStr">
        <is>
          <t>26-ינו</t>
        </is>
      </c>
      <c r="B9" s="29" t="n">
        <v>21</v>
      </c>
      <c r="C9" s="30" t="n">
        <v>9.500000000116415</v>
      </c>
      <c r="D9" s="30" t="n">
        <v>0.4523809523864959</v>
      </c>
      <c r="E9" s="29" t="n">
        <v>99.75000000122236</v>
      </c>
      <c r="F9" s="31" t="n">
        <v>10.5</v>
      </c>
    </row>
    <row r="10">
      <c r="A10" s="32" t="inlineStr">
        <is>
          <t>27-ינו</t>
        </is>
      </c>
      <c r="B10" s="33" t="n">
        <v>18</v>
      </c>
      <c r="C10" s="34" t="n">
        <v>12.49999999988358</v>
      </c>
      <c r="D10" s="34" t="n">
        <v>0.6944444444379769</v>
      </c>
      <c r="E10" s="33" t="n">
        <v>83.74999999953434</v>
      </c>
      <c r="F10" s="35" t="n">
        <v>6.700000000025145</v>
      </c>
    </row>
    <row r="11">
      <c r="A11" s="28" t="inlineStr">
        <is>
          <t>28-ינו</t>
        </is>
      </c>
      <c r="B11" s="29" t="n">
        <v>17</v>
      </c>
      <c r="C11" s="30" t="n">
        <v>8.749999999883585</v>
      </c>
      <c r="D11" s="30" t="n">
        <v>0.5147058823460933</v>
      </c>
      <c r="E11" s="29" t="n">
        <v>74.74999999895226</v>
      </c>
      <c r="F11" s="31" t="n">
        <v>8.54285714285106</v>
      </c>
    </row>
    <row r="12">
      <c r="A12" s="32" t="inlineStr">
        <is>
          <t>29-ינו</t>
        </is>
      </c>
      <c r="B12" s="33" t="n">
        <v>18</v>
      </c>
      <c r="C12" s="34" t="n">
        <v>5</v>
      </c>
      <c r="D12" s="34" t="n">
        <v>0.2777777777777778</v>
      </c>
      <c r="E12" s="33" t="n">
        <v>90</v>
      </c>
      <c r="F12" s="35" t="n">
        <v>18</v>
      </c>
    </row>
    <row r="15" ht="18" customHeight="1">
      <c r="A15" s="13" t="inlineStr">
        <is>
          <t>סיכום חודשי</t>
        </is>
      </c>
    </row>
    <row r="16" ht="32" customHeight="1">
      <c r="A16" s="36" t="inlineStr"/>
      <c r="B16" s="3" t="inlineStr">
        <is>
          <t>ימי עבודה</t>
        </is>
      </c>
      <c r="C16" s="3" t="inlineStr">
        <is>
          <t>ממוצע עובדים/יום</t>
        </is>
      </c>
      <c r="D16" s="3" t="inlineStr">
        <is>
          <t>ממוצע שעות/יום</t>
        </is>
      </c>
      <c r="E16" s="3" t="inlineStr">
        <is>
          <t>שעות/חניך</t>
        </is>
      </c>
      <c r="F16" s="3" t="inlineStr">
        <is>
          <t>הכנסה (₪)</t>
        </is>
      </c>
      <c r="G16" s="3" t="inlineStr">
        <is>
          <t>תעריף ממוצע בפועל (₪/ש)</t>
        </is>
      </c>
    </row>
    <row r="17">
      <c r="A17" s="15" t="inlineStr">
        <is>
          <t>ביצוע</t>
        </is>
      </c>
      <c r="B17" s="16" t="n">
        <v>10</v>
      </c>
      <c r="C17" s="17" t="n">
        <v>17.8</v>
      </c>
      <c r="D17" s="17" t="n">
        <v>9.066666667023673</v>
      </c>
      <c r="E17" s="17" t="n">
        <v>0.5142515398147001</v>
      </c>
      <c r="F17" s="16" t="n">
        <v>825.9166666991659</v>
      </c>
      <c r="G17" s="18" t="n">
        <v>9.109374999999758</v>
      </c>
    </row>
    <row r="18">
      <c r="A18" s="19" t="inlineStr">
        <is>
          <t>תקציב</t>
        </is>
      </c>
      <c r="B18" s="20" t="n">
        <v>13</v>
      </c>
      <c r="C18" s="21" t="n">
        <v>17.6</v>
      </c>
      <c r="D18" s="21" t="n">
        <v>88</v>
      </c>
      <c r="E18" s="21" t="n">
        <v>5</v>
      </c>
      <c r="F18" s="20" t="n">
        <v>40040</v>
      </c>
      <c r="G18" s="22" t="n">
        <v>35</v>
      </c>
    </row>
    <row r="20">
      <c r="A20" s="23" t="inlineStr">
        <is>
          <t>פער</t>
        </is>
      </c>
      <c r="B20" s="24">
        <f>B17-B18</f>
        <v/>
      </c>
      <c r="C20" s="25">
        <f>C17-C18</f>
        <v/>
      </c>
      <c r="D20" s="25">
        <f>D17-D18</f>
        <v/>
      </c>
      <c r="E20" s="25">
        <f>E17-E18</f>
        <v/>
      </c>
      <c r="F20" s="24">
        <f>F17-F18</f>
        <v/>
      </c>
      <c r="G20" s="26">
        <f>G17-G18</f>
        <v/>
      </c>
    </row>
    <row r="21">
      <c r="A21" s="23" t="inlineStr">
        <is>
          <t>% פער</t>
        </is>
      </c>
      <c r="B21" s="27">
        <f>IF(B18=0,"",(B17-B18)/B18)</f>
        <v/>
      </c>
      <c r="C21" s="27">
        <f>IF(C18=0,"",(C17-C18)/C18)</f>
        <v/>
      </c>
      <c r="D21" s="27">
        <f>IF(D18=0,"",(D17-D18)/D18)</f>
        <v/>
      </c>
      <c r="E21" s="27">
        <f>IF(E18=0,"",(E17-E18)/E18)</f>
        <v/>
      </c>
      <c r="F21" s="27">
        <f>IF(F18=0,"",(F17-F18)/F18)</f>
        <v/>
      </c>
      <c r="G21" s="27">
        <f>IF(G18=0,"",(G17-G18)/G18)</f>
        <v/>
      </c>
    </row>
  </sheetData>
  <mergeCells count="2">
    <mergeCell ref="A1:G1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גליל עליון – פברואר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02-פבר</t>
        </is>
      </c>
      <c r="B3" s="29" t="n">
        <v>16</v>
      </c>
      <c r="C3" s="30" t="n">
        <v>63.99999998696148</v>
      </c>
      <c r="D3" s="30" t="n">
        <v>3.999999999185093</v>
      </c>
      <c r="E3" s="29" t="n">
        <v>2239.999999543652</v>
      </c>
      <c r="F3" s="31" t="n">
        <v>35</v>
      </c>
    </row>
    <row r="4">
      <c r="A4" s="32" t="inlineStr">
        <is>
          <t>04-פבר</t>
        </is>
      </c>
      <c r="B4" s="33" t="n">
        <v>17</v>
      </c>
      <c r="C4" s="34" t="n">
        <v>78.75000000162981</v>
      </c>
      <c r="D4" s="34" t="n">
        <v>4.632352941272342</v>
      </c>
      <c r="E4" s="33" t="n">
        <v>2756.250000057044</v>
      </c>
      <c r="F4" s="35" t="n">
        <v>35</v>
      </c>
    </row>
    <row r="5">
      <c r="A5" s="28" t="inlineStr">
        <is>
          <t>05-פבר</t>
        </is>
      </c>
      <c r="B5" s="29" t="n">
        <v>18</v>
      </c>
      <c r="C5" s="30" t="n">
        <v>70.50000001658918</v>
      </c>
      <c r="D5" s="30" t="n">
        <v>3.916666667588288</v>
      </c>
      <c r="E5" s="29" t="n">
        <v>2467.500000580621</v>
      </c>
      <c r="F5" s="31" t="n">
        <v>35</v>
      </c>
    </row>
    <row r="6">
      <c r="A6" s="32" t="inlineStr">
        <is>
          <t>09-פבר</t>
        </is>
      </c>
      <c r="B6" s="33" t="n">
        <v>20</v>
      </c>
      <c r="C6" s="34" t="n">
        <v>94.66666666185483</v>
      </c>
      <c r="D6" s="34" t="n">
        <v>4.733333333092742</v>
      </c>
      <c r="E6" s="33" t="n">
        <v>3313.333333164919</v>
      </c>
      <c r="F6" s="35" t="n">
        <v>35</v>
      </c>
    </row>
    <row r="7">
      <c r="A7" s="28" t="inlineStr">
        <is>
          <t>10-פבר</t>
        </is>
      </c>
      <c r="B7" s="29" t="n">
        <v>18</v>
      </c>
      <c r="C7" s="30" t="n">
        <v>85.50000002933666</v>
      </c>
      <c r="D7" s="30" t="n">
        <v>4.750000001629815</v>
      </c>
      <c r="E7" s="29" t="n">
        <v>2992.500001026783</v>
      </c>
      <c r="F7" s="31" t="n">
        <v>35</v>
      </c>
    </row>
    <row r="8">
      <c r="A8" s="32" t="inlineStr">
        <is>
          <t>12-פבר</t>
        </is>
      </c>
      <c r="B8" s="33" t="n">
        <v>17</v>
      </c>
      <c r="C8" s="34" t="n">
        <v>77.91666667029494</v>
      </c>
      <c r="D8" s="34" t="n">
        <v>4.583333333546761</v>
      </c>
      <c r="E8" s="33" t="n">
        <v>2727.083333460323</v>
      </c>
      <c r="F8" s="35" t="n">
        <v>35</v>
      </c>
    </row>
    <row r="9">
      <c r="A9" s="28" t="inlineStr">
        <is>
          <t>16-פבר</t>
        </is>
      </c>
      <c r="B9" s="29" t="n">
        <v>17</v>
      </c>
      <c r="C9" s="30" t="n">
        <v>80.58333334285999</v>
      </c>
      <c r="D9" s="30" t="n">
        <v>4.740196078991764</v>
      </c>
      <c r="E9" s="29" t="n">
        <v>2820.4166670001</v>
      </c>
      <c r="F9" s="31" t="n">
        <v>35</v>
      </c>
    </row>
    <row r="10">
      <c r="A10" s="32" t="inlineStr">
        <is>
          <t>17-פבר</t>
        </is>
      </c>
      <c r="B10" s="33" t="n">
        <v>15</v>
      </c>
      <c r="C10" s="34" t="n">
        <v>69.00000000488944</v>
      </c>
      <c r="D10" s="34" t="n">
        <v>4.600000000325963</v>
      </c>
      <c r="E10" s="33" t="n">
        <v>2415.000000171131</v>
      </c>
      <c r="F10" s="35" t="n">
        <v>35</v>
      </c>
    </row>
    <row r="11">
      <c r="A11" s="28" t="inlineStr">
        <is>
          <t>18-פבר</t>
        </is>
      </c>
      <c r="B11" s="29" t="n">
        <v>25</v>
      </c>
      <c r="C11" s="30" t="n">
        <v>105.2500000309665</v>
      </c>
      <c r="D11" s="30" t="n">
        <v>4.210000001238659</v>
      </c>
      <c r="E11" s="29" t="n">
        <v>3113.750000888249</v>
      </c>
      <c r="F11" s="31" t="n">
        <v>29.58432304011522</v>
      </c>
    </row>
    <row r="12">
      <c r="A12" s="32" t="inlineStr">
        <is>
          <t>19-פבר</t>
        </is>
      </c>
      <c r="B12" s="33" t="n">
        <v>24</v>
      </c>
      <c r="C12" s="34" t="n">
        <v>109.3333333245828</v>
      </c>
      <c r="D12" s="34" t="n">
        <v>4.555555555190949</v>
      </c>
      <c r="E12" s="33" t="n">
        <v>3345.416666337987</v>
      </c>
      <c r="F12" s="35" t="n">
        <v>30.59832317017445</v>
      </c>
    </row>
    <row r="13">
      <c r="A13" s="28" t="inlineStr">
        <is>
          <t>24-פבר</t>
        </is>
      </c>
      <c r="B13" s="29" t="n">
        <v>17</v>
      </c>
      <c r="C13" s="30" t="n">
        <v>46.75</v>
      </c>
      <c r="D13" s="30" t="n">
        <v>2.75</v>
      </c>
      <c r="E13" s="29" t="n">
        <v>1636.25</v>
      </c>
      <c r="F13" s="31" t="n">
        <v>35</v>
      </c>
    </row>
    <row r="14">
      <c r="A14" s="32" t="inlineStr">
        <is>
          <t>25-פבר</t>
        </is>
      </c>
      <c r="B14" s="33" t="n">
        <v>16</v>
      </c>
      <c r="C14" s="34" t="n">
        <v>72.16666665143566</v>
      </c>
      <c r="D14" s="34" t="n">
        <v>4.510416665714729</v>
      </c>
      <c r="E14" s="33" t="n">
        <v>2525.833332800248</v>
      </c>
      <c r="F14" s="35" t="n">
        <v>35</v>
      </c>
    </row>
    <row r="15">
      <c r="A15" s="28" t="inlineStr">
        <is>
          <t>27-פבר</t>
        </is>
      </c>
      <c r="B15" s="29" t="n">
        <v>10</v>
      </c>
      <c r="C15" s="30" t="n">
        <v>45.58333333168412</v>
      </c>
      <c r="D15" s="30" t="n">
        <v>4.558333333168411</v>
      </c>
      <c r="E15" s="29" t="n">
        <v>1595.416666608944</v>
      </c>
      <c r="F15" s="31" t="n">
        <v>35</v>
      </c>
    </row>
    <row r="18" ht="18" customHeight="1">
      <c r="A18" s="13" t="inlineStr">
        <is>
          <t>סיכום חודשי</t>
        </is>
      </c>
    </row>
    <row r="19" ht="32" customHeight="1">
      <c r="A19" s="36" t="inlineStr"/>
      <c r="B19" s="3" t="inlineStr">
        <is>
          <t>ימי עבודה</t>
        </is>
      </c>
      <c r="C19" s="3" t="inlineStr">
        <is>
          <t>ממוצע עובדים/יום</t>
        </is>
      </c>
      <c r="D19" s="3" t="inlineStr">
        <is>
          <t>ממוצע שעות/יום</t>
        </is>
      </c>
      <c r="E19" s="3" t="inlineStr">
        <is>
          <t>שעות/חניך</t>
        </is>
      </c>
      <c r="F19" s="3" t="inlineStr">
        <is>
          <t>הכנסה (₪)</t>
        </is>
      </c>
      <c r="G19" s="3" t="inlineStr">
        <is>
          <t>תעריף ממוצע בפועל (₪/ש)</t>
        </is>
      </c>
    </row>
    <row r="20">
      <c r="A20" s="15" t="inlineStr">
        <is>
          <t>ביצוע</t>
        </is>
      </c>
      <c r="B20" s="16" t="n">
        <v>13</v>
      </c>
      <c r="C20" s="17" t="n">
        <v>17.69230769230769</v>
      </c>
      <c r="D20" s="17" t="n">
        <v>76.92307692716041</v>
      </c>
      <c r="E20" s="17" t="n">
        <v>4.349245223918886</v>
      </c>
      <c r="F20" s="16" t="n">
        <v>33948.75000164</v>
      </c>
      <c r="G20" s="18" t="n">
        <v>33.94874999983782</v>
      </c>
    </row>
    <row r="21">
      <c r="A21" s="19" t="inlineStr">
        <is>
          <t>תקציב</t>
        </is>
      </c>
      <c r="B21" s="20" t="n">
        <v>16</v>
      </c>
      <c r="C21" s="21" t="n">
        <v>17.6</v>
      </c>
      <c r="D21" s="21" t="n">
        <v>88</v>
      </c>
      <c r="E21" s="21" t="n">
        <v>5</v>
      </c>
      <c r="F21" s="20" t="n">
        <v>49280</v>
      </c>
      <c r="G21" s="22" t="n">
        <v>35</v>
      </c>
    </row>
    <row r="23">
      <c r="A23" s="23" t="inlineStr">
        <is>
          <t>פער</t>
        </is>
      </c>
      <c r="B23" s="24">
        <f>B20-B21</f>
        <v/>
      </c>
      <c r="C23" s="25">
        <f>C20-C21</f>
        <v/>
      </c>
      <c r="D23" s="25">
        <f>D20-D21</f>
        <v/>
      </c>
      <c r="E23" s="25">
        <f>E20-E21</f>
        <v/>
      </c>
      <c r="F23" s="24">
        <f>F20-F21</f>
        <v/>
      </c>
      <c r="G23" s="26">
        <f>G20-G21</f>
        <v/>
      </c>
    </row>
    <row r="24">
      <c r="A24" s="23" t="inlineStr">
        <is>
          <t>% פער</t>
        </is>
      </c>
      <c r="B24" s="27">
        <f>IF(B21=0,"",(B20-B21)/B21)</f>
        <v/>
      </c>
      <c r="C24" s="27">
        <f>IF(C21=0,"",(C20-C21)/C21)</f>
        <v/>
      </c>
      <c r="D24" s="27">
        <f>IF(D21=0,"",(D20-D21)/D21)</f>
        <v/>
      </c>
      <c r="E24" s="27">
        <f>IF(E21=0,"",(E20-E21)/E21)</f>
        <v/>
      </c>
      <c r="F24" s="27">
        <f>IF(F21=0,"",(F20-F21)/F21)</f>
        <v/>
      </c>
      <c r="G24" s="27">
        <f>IF(G21=0,"",(G20-G21)/G21)</f>
        <v/>
      </c>
    </row>
  </sheetData>
  <mergeCells count="2">
    <mergeCell ref="A1:G1"/>
    <mergeCell ref="A18:G1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9C4C7DBD-A89F-4E24-ACAF-B92000A1746B}"/>
</file>

<file path=customXml/itemProps2.xml><?xml version="1.0" encoding="utf-8"?>
<ds:datastoreItem xmlns:ds="http://schemas.openxmlformats.org/officeDocument/2006/customXml" ds:itemID="{A14FF251-11AE-4884-9961-8D58FCCC1C60}"/>
</file>

<file path=customXml/itemProps3.xml><?xml version="1.0" encoding="utf-8"?>
<ds:datastoreItem xmlns:ds="http://schemas.openxmlformats.org/officeDocument/2006/customXml" ds:itemID="{F2ABA6F2-97CC-4B7C-9140-2CD9BE5A5E0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2026-03-31T12:00:53Z</dcterms:created>
  <dcterms:modified xsi:type="dcterms:W3CDTF">2026-03-31T12:00:53Z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</Properties>
</file>