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פברואר 2026 – ניצנים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16</v>
      </c>
      <c r="C4" s="8" t="n">
        <v>14</v>
      </c>
      <c r="D4" s="9" t="n">
        <v>34</v>
      </c>
      <c r="E4" s="10" t="n">
        <v>62.25</v>
      </c>
      <c r="F4" s="9" t="n">
        <v>4.611038864691742</v>
      </c>
      <c r="G4" s="10" t="n">
        <v>4.75</v>
      </c>
      <c r="H4" s="7" t="n">
        <v>90899.59999901653</v>
      </c>
      <c r="I4" s="8" t="n">
        <v>149026.5</v>
      </c>
      <c r="J4" s="11" t="n">
        <v>36.99717805395368</v>
      </c>
      <c r="K4" s="12" t="n">
        <v>36</v>
      </c>
    </row>
    <row r="5">
      <c r="A5" s="6" t="inlineStr">
        <is>
          <t>פברואר</t>
        </is>
      </c>
      <c r="B5" s="7" t="n">
        <v>17</v>
      </c>
      <c r="C5" s="8" t="n">
        <v>14</v>
      </c>
      <c r="D5" s="9" t="n">
        <v>49.52941176470588</v>
      </c>
      <c r="E5" s="10" t="n">
        <v>62.25</v>
      </c>
      <c r="F5" s="9" t="n">
        <v>4.352307857879043</v>
      </c>
      <c r="G5" s="10" t="n">
        <v>5</v>
      </c>
      <c r="H5" s="7" t="n">
        <v>132819.0000006615</v>
      </c>
      <c r="I5" s="8" t="n">
        <v>156870</v>
      </c>
      <c r="J5" s="11" t="n">
        <v>36</v>
      </c>
      <c r="K5" s="12" t="n">
        <v>36</v>
      </c>
    </row>
    <row r="8" ht="22" customHeight="1">
      <c r="A8" s="13" t="inlineStr">
        <is>
          <t>סיכום מצטבר מינואר עד פברואר</t>
        </is>
      </c>
    </row>
    <row r="9" ht="36" customHeight="1">
      <c r="A9" s="14" t="inlineStr"/>
      <c r="B9" s="3" t="inlineStr">
        <is>
          <t>ימי עבודה</t>
        </is>
      </c>
      <c r="C9" s="3" t="inlineStr">
        <is>
          <t>ממוצע עובדים/יום</t>
        </is>
      </c>
      <c r="D9" s="3" t="inlineStr">
        <is>
          <t>ממוצע שעות/יום</t>
        </is>
      </c>
      <c r="E9" s="3" t="inlineStr">
        <is>
          <t>שעות/חניך</t>
        </is>
      </c>
      <c r="F9" s="3" t="inlineStr">
        <is>
          <t>הכנסה (₪)</t>
        </is>
      </c>
      <c r="G9" s="3" t="inlineStr">
        <is>
          <t>תעריף ממוצע בפועל (₪/ש)</t>
        </is>
      </c>
    </row>
    <row r="10">
      <c r="A10" s="15" t="inlineStr">
        <is>
          <t>ביצוע</t>
        </is>
      </c>
      <c r="B10" s="16" t="n">
        <v>33</v>
      </c>
      <c r="C10" s="17" t="n">
        <v>42</v>
      </c>
      <c r="D10" s="17" t="n">
        <v>186.2530303027593</v>
      </c>
      <c r="E10" s="17" t="n">
        <v>4.477753194515503</v>
      </c>
      <c r="F10" s="16" t="n">
        <v>223718.599999678</v>
      </c>
      <c r="G10" s="18" t="n">
        <v>36.39861055748592</v>
      </c>
    </row>
    <row r="11">
      <c r="A11" s="19" t="inlineStr">
        <is>
          <t>תקציב</t>
        </is>
      </c>
      <c r="B11" s="20" t="n">
        <v>28</v>
      </c>
      <c r="C11" s="21" t="n">
        <v>62.25</v>
      </c>
      <c r="D11" s="21" t="n">
        <v>303.46875</v>
      </c>
      <c r="E11" s="21" t="n">
        <v>4.875</v>
      </c>
      <c r="F11" s="20" t="n">
        <v>305896.5</v>
      </c>
      <c r="G11" s="22" t="n">
        <v>36</v>
      </c>
    </row>
    <row r="13">
      <c r="A13" s="23" t="inlineStr">
        <is>
          <t>פער</t>
        </is>
      </c>
      <c r="B13" s="24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4">
        <f>F10-F11</f>
        <v/>
      </c>
      <c r="G13" s="26">
        <f>G10-G11</f>
        <v/>
      </c>
    </row>
    <row r="14">
      <c r="A14" s="23" t="inlineStr">
        <is>
          <t>% פער</t>
        </is>
      </c>
      <c r="B14" s="27">
        <f>IF(B11=0,"",(B10-B11)/B11)</f>
        <v/>
      </c>
      <c r="C14" s="27">
        <f>IF(C11=0,"",(C10-C11)/C11)</f>
        <v/>
      </c>
      <c r="D14" s="27">
        <f>IF(D11=0,"",(D10-D11)/D11)</f>
        <v/>
      </c>
      <c r="E14" s="27">
        <f>IF(E11=0,"",(E10-E11)/E11)</f>
        <v/>
      </c>
      <c r="F14" s="27">
        <f>IF(F11=0,"",(F10-F11)/F11)</f>
        <v/>
      </c>
      <c r="G14" s="27">
        <f>IF(G11=0,"",(G10-G11)/G11)</f>
        <v/>
      </c>
    </row>
  </sheetData>
  <mergeCells count="8">
    <mergeCell ref="F2:G2"/>
    <mergeCell ref="B2:C2"/>
    <mergeCell ref="H2:I2"/>
    <mergeCell ref="D2:E2"/>
    <mergeCell ref="A8:G8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ניצנים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26-ינו</t>
        </is>
      </c>
      <c r="B3" s="29" t="n">
        <v>53</v>
      </c>
      <c r="C3" s="30" t="n">
        <v>193.3500000041909</v>
      </c>
      <c r="D3" s="30" t="n">
        <v>3.648113207626244</v>
      </c>
      <c r="E3" s="29" t="n">
        <v>6960.600000150875</v>
      </c>
      <c r="F3" s="31" t="n">
        <v>36</v>
      </c>
    </row>
    <row r="4">
      <c r="A4" s="32" t="inlineStr">
        <is>
          <t>28-ינו</t>
        </is>
      </c>
      <c r="B4" s="33" t="n">
        <v>31</v>
      </c>
      <c r="C4" s="34" t="n">
        <v>136.3333333402795</v>
      </c>
      <c r="D4" s="34" t="n">
        <v>4.39784946258966</v>
      </c>
      <c r="E4" s="33" t="n">
        <v>4908.00000025006</v>
      </c>
      <c r="F4" s="35" t="n">
        <v>35.99999999999999</v>
      </c>
    </row>
    <row r="5">
      <c r="A5" s="28" t="inlineStr">
        <is>
          <t>29-ינו</t>
        </is>
      </c>
      <c r="B5" s="29" t="n">
        <v>43</v>
      </c>
      <c r="C5" s="30" t="n">
        <v>189.6666666546953</v>
      </c>
      <c r="D5" s="30" t="n">
        <v>4.41085271289989</v>
      </c>
      <c r="E5" s="29" t="n">
        <v>6827.99999956903</v>
      </c>
      <c r="F5" s="31" t="n">
        <v>36</v>
      </c>
    </row>
    <row r="6">
      <c r="A6" s="32" t="inlineStr">
        <is>
          <t>05-ינו</t>
        </is>
      </c>
      <c r="B6" s="33" t="n">
        <v>33</v>
      </c>
      <c r="C6" s="34" t="n">
        <v>114.7500000141445</v>
      </c>
      <c r="D6" s="34" t="n">
        <v>3.477272727701347</v>
      </c>
      <c r="E6" s="33" t="n">
        <v>4131.000000509201</v>
      </c>
      <c r="F6" s="35" t="n">
        <v>36</v>
      </c>
    </row>
    <row r="7">
      <c r="A7" s="28" t="inlineStr">
        <is>
          <t>01-ינו</t>
        </is>
      </c>
      <c r="B7" s="29" t="n">
        <v>18</v>
      </c>
      <c r="C7" s="30" t="n">
        <v>87.49999997299165</v>
      </c>
      <c r="D7" s="30" t="n">
        <v>4.861111109610647</v>
      </c>
      <c r="E7" s="29" t="n">
        <v>3149.999999027699</v>
      </c>
      <c r="F7" s="31" t="n">
        <v>36</v>
      </c>
    </row>
    <row r="8">
      <c r="A8" s="32" t="inlineStr">
        <is>
          <t>06-ינו</t>
        </is>
      </c>
      <c r="B8" s="33" t="n">
        <v>23</v>
      </c>
      <c r="C8" s="34" t="n">
        <v>167.7499999915599</v>
      </c>
      <c r="D8" s="34" t="n">
        <v>7.293478260502604</v>
      </c>
      <c r="E8" s="33" t="n">
        <v>7046.999999696156</v>
      </c>
      <c r="F8" s="35" t="n">
        <v>42.00894187809667</v>
      </c>
    </row>
    <row r="9">
      <c r="A9" s="28" t="inlineStr">
        <is>
          <t>07-ינו</t>
        </is>
      </c>
      <c r="B9" s="29" t="n">
        <v>30</v>
      </c>
      <c r="C9" s="30" t="n">
        <v>193.7499999973224</v>
      </c>
      <c r="D9" s="30" t="n">
        <v>6.458333333244082</v>
      </c>
      <c r="E9" s="29" t="n">
        <v>7744.999999903608</v>
      </c>
      <c r="F9" s="31" t="n">
        <v>39.97419354844202</v>
      </c>
    </row>
    <row r="10">
      <c r="A10" s="32" t="inlineStr">
        <is>
          <t>08-ינו</t>
        </is>
      </c>
      <c r="B10" s="33" t="n">
        <v>34</v>
      </c>
      <c r="C10" s="34" t="n">
        <v>208.5833333164337</v>
      </c>
      <c r="D10" s="34" t="n">
        <v>6.13480392107158</v>
      </c>
      <c r="E10" s="33" t="n">
        <v>8180.999999391614</v>
      </c>
      <c r="F10" s="35" t="n">
        <v>39.22173391955787</v>
      </c>
    </row>
    <row r="11">
      <c r="A11" s="28" t="inlineStr">
        <is>
          <t>12-ינו</t>
        </is>
      </c>
      <c r="B11" s="29" t="n">
        <v>38</v>
      </c>
      <c r="C11" s="30" t="n">
        <v>164.083333332499</v>
      </c>
      <c r="D11" s="30" t="n">
        <v>4.317982456118395</v>
      </c>
      <c r="E11" s="29" t="n">
        <v>5906.999999969965</v>
      </c>
      <c r="F11" s="31" t="n">
        <v>36</v>
      </c>
    </row>
    <row r="12">
      <c r="A12" s="32" t="inlineStr">
        <is>
          <t>19-ינו</t>
        </is>
      </c>
      <c r="B12" s="33" t="n">
        <v>9</v>
      </c>
      <c r="C12" s="34" t="n">
        <v>37.91666666331002</v>
      </c>
      <c r="D12" s="34" t="n">
        <v>4.212962962590002</v>
      </c>
      <c r="E12" s="33" t="n">
        <v>1364.999999879161</v>
      </c>
      <c r="F12" s="35" t="n">
        <v>36</v>
      </c>
    </row>
    <row r="13">
      <c r="A13" s="28" t="inlineStr">
        <is>
          <t>21-ינו</t>
        </is>
      </c>
      <c r="B13" s="29" t="n">
        <v>53</v>
      </c>
      <c r="C13" s="30" t="n">
        <v>231.8333333652699</v>
      </c>
      <c r="D13" s="30" t="n">
        <v>4.374213837080565</v>
      </c>
      <c r="E13" s="29" t="n">
        <v>8346.000001149718</v>
      </c>
      <c r="F13" s="31" t="n">
        <v>36</v>
      </c>
    </row>
    <row r="14">
      <c r="A14" s="32" t="inlineStr">
        <is>
          <t>22-ינו</t>
        </is>
      </c>
      <c r="B14" s="33" t="n">
        <v>44</v>
      </c>
      <c r="C14" s="34" t="n">
        <v>163.7499999647262</v>
      </c>
      <c r="D14" s="34" t="n">
        <v>3.721590908289231</v>
      </c>
      <c r="E14" s="33" t="n">
        <v>5894.999998730142</v>
      </c>
      <c r="F14" s="35" t="n">
        <v>36</v>
      </c>
    </row>
    <row r="15">
      <c r="A15" s="28" t="inlineStr">
        <is>
          <t>27-ינו</t>
        </is>
      </c>
      <c r="B15" s="29" t="n">
        <v>38</v>
      </c>
      <c r="C15" s="30" t="n">
        <v>163.3333333421227</v>
      </c>
      <c r="D15" s="30" t="n">
        <v>4.298245614266386</v>
      </c>
      <c r="E15" s="29" t="n">
        <v>5880.000000316417</v>
      </c>
      <c r="F15" s="31" t="n">
        <v>36.00000000000001</v>
      </c>
    </row>
    <row r="16">
      <c r="A16" s="32" t="inlineStr">
        <is>
          <t>15-ינו</t>
        </is>
      </c>
      <c r="B16" s="33" t="n">
        <v>32</v>
      </c>
      <c r="C16" s="34" t="n">
        <v>123.3333333556075</v>
      </c>
      <c r="D16" s="34" t="n">
        <v>3.854166667362733</v>
      </c>
      <c r="E16" s="33" t="n">
        <v>4440.000000801869</v>
      </c>
      <c r="F16" s="35" t="n">
        <v>36</v>
      </c>
    </row>
    <row r="17">
      <c r="A17" s="28" t="inlineStr">
        <is>
          <t>20-ינו</t>
        </is>
      </c>
      <c r="B17" s="29" t="n">
        <v>12</v>
      </c>
      <c r="C17" s="30" t="n">
        <v>46.75000000308501</v>
      </c>
      <c r="D17" s="30" t="n">
        <v>3.895833333590417</v>
      </c>
      <c r="E17" s="29" t="n">
        <v>1683.00000011106</v>
      </c>
      <c r="F17" s="31" t="n">
        <v>36</v>
      </c>
    </row>
    <row r="18">
      <c r="A18" s="32" t="inlineStr">
        <is>
          <t>25-ינו</t>
        </is>
      </c>
      <c r="B18" s="33" t="n">
        <v>53</v>
      </c>
      <c r="C18" s="34" t="n">
        <v>234.2499999877764</v>
      </c>
      <c r="D18" s="34" t="n">
        <v>4.419811320524083</v>
      </c>
      <c r="E18" s="33" t="n">
        <v>8432.99999955995</v>
      </c>
      <c r="F18" s="35" t="n">
        <v>36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שעות/חניך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34</v>
      </c>
      <c r="D23" s="17" t="n">
        <v>153.5583333316259</v>
      </c>
      <c r="E23" s="17" t="n">
        <v>4.611038864691742</v>
      </c>
      <c r="F23" s="16" t="n">
        <v>90899.59999901653</v>
      </c>
      <c r="G23" s="18" t="n">
        <v>36.99717805395368</v>
      </c>
    </row>
    <row r="24">
      <c r="A24" s="19" t="inlineStr">
        <is>
          <t>תקציב</t>
        </is>
      </c>
      <c r="B24" s="20" t="n">
        <v>14</v>
      </c>
      <c r="C24" s="21" t="n">
        <v>62.25</v>
      </c>
      <c r="D24" s="21" t="n">
        <v>295.6875</v>
      </c>
      <c r="E24" s="21" t="n">
        <v>4.75</v>
      </c>
      <c r="F24" s="20" t="n">
        <v>149026.5</v>
      </c>
      <c r="G24" s="22" t="n">
        <v>36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ניצנים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26-פבר</t>
        </is>
      </c>
      <c r="B3" s="29" t="n">
        <v>60</v>
      </c>
      <c r="C3" s="30" t="n">
        <v>261.0833333488166</v>
      </c>
      <c r="D3" s="30" t="n">
        <v>4.351388889146944</v>
      </c>
      <c r="E3" s="29" t="n">
        <v>9399.000000557397</v>
      </c>
      <c r="F3" s="31" t="n">
        <v>35.99999999999999</v>
      </c>
    </row>
    <row r="4">
      <c r="A4" s="32" t="inlineStr">
        <is>
          <t>11-פבר</t>
        </is>
      </c>
      <c r="B4" s="33" t="n">
        <v>54</v>
      </c>
      <c r="C4" s="34" t="n">
        <v>255.6666666964302</v>
      </c>
      <c r="D4" s="34" t="n">
        <v>4.734567901785744</v>
      </c>
      <c r="E4" s="33" t="n">
        <v>9204.000001071487</v>
      </c>
      <c r="F4" s="35" t="n">
        <v>36</v>
      </c>
    </row>
    <row r="5">
      <c r="A5" s="28" t="inlineStr">
        <is>
          <t>16-פבר</t>
        </is>
      </c>
      <c r="B5" s="29" t="n">
        <v>74</v>
      </c>
      <c r="C5" s="30" t="n">
        <v>334.5833333292588</v>
      </c>
      <c r="D5" s="30" t="n">
        <v>4.521396396341336</v>
      </c>
      <c r="E5" s="29" t="n">
        <v>12044.99999985332</v>
      </c>
      <c r="F5" s="31" t="n">
        <v>35.99999999999999</v>
      </c>
    </row>
    <row r="6">
      <c r="A6" s="32" t="inlineStr">
        <is>
          <t>17-פבר</t>
        </is>
      </c>
      <c r="B6" s="33" t="n">
        <v>48</v>
      </c>
      <c r="C6" s="34" t="n">
        <v>208.2500000180444</v>
      </c>
      <c r="D6" s="34" t="n">
        <v>4.338541667042591</v>
      </c>
      <c r="E6" s="33" t="n">
        <v>7497.000000649597</v>
      </c>
      <c r="F6" s="35" t="n">
        <v>36</v>
      </c>
    </row>
    <row r="7">
      <c r="A7" s="28" t="inlineStr">
        <is>
          <t>18-פבר</t>
        </is>
      </c>
      <c r="B7" s="29" t="n">
        <v>49</v>
      </c>
      <c r="C7" s="30" t="n">
        <v>232.2499999905122</v>
      </c>
      <c r="D7" s="30" t="n">
        <v>4.739795918173717</v>
      </c>
      <c r="E7" s="29" t="n">
        <v>8360.999999658437</v>
      </c>
      <c r="F7" s="31" t="n">
        <v>36</v>
      </c>
    </row>
    <row r="8">
      <c r="A8" s="32" t="inlineStr">
        <is>
          <t>19-פבר</t>
        </is>
      </c>
      <c r="B8" s="33" t="n">
        <v>45</v>
      </c>
      <c r="C8" s="34" t="n">
        <v>206.0000000005433</v>
      </c>
      <c r="D8" s="34" t="n">
        <v>4.577777777789851</v>
      </c>
      <c r="E8" s="33" t="n">
        <v>7416.000000019558</v>
      </c>
      <c r="F8" s="35" t="n">
        <v>36</v>
      </c>
    </row>
    <row r="9">
      <c r="A9" s="28" t="inlineStr">
        <is>
          <t>23-פבר</t>
        </is>
      </c>
      <c r="B9" s="29" t="n">
        <v>70</v>
      </c>
      <c r="C9" s="30" t="n">
        <v>283.6666666684323</v>
      </c>
      <c r="D9" s="30" t="n">
        <v>4.052380952406176</v>
      </c>
      <c r="E9" s="29" t="n">
        <v>10212.00000006356</v>
      </c>
      <c r="F9" s="31" t="n">
        <v>36</v>
      </c>
    </row>
    <row r="10">
      <c r="A10" s="32" t="inlineStr">
        <is>
          <t>03-פבר</t>
        </is>
      </c>
      <c r="B10" s="33" t="n">
        <v>33</v>
      </c>
      <c r="C10" s="34" t="n">
        <v>119.7499999792781</v>
      </c>
      <c r="D10" s="34" t="n">
        <v>3.628787878159942</v>
      </c>
      <c r="E10" s="33" t="n">
        <v>4310.999999254011</v>
      </c>
      <c r="F10" s="35" t="n">
        <v>36</v>
      </c>
    </row>
    <row r="11">
      <c r="A11" s="28" t="inlineStr">
        <is>
          <t>04-פבר</t>
        </is>
      </c>
      <c r="B11" s="29" t="n">
        <v>47</v>
      </c>
      <c r="C11" s="30" t="n">
        <v>212.5833333138726</v>
      </c>
      <c r="D11" s="30" t="n">
        <v>4.523049644976012</v>
      </c>
      <c r="E11" s="29" t="n">
        <v>7652.999999299413</v>
      </c>
      <c r="F11" s="31" t="n">
        <v>36</v>
      </c>
    </row>
    <row r="12">
      <c r="A12" s="32" t="inlineStr">
        <is>
          <t>05-פבר</t>
        </is>
      </c>
      <c r="B12" s="33" t="n">
        <v>49</v>
      </c>
      <c r="C12" s="34" t="n">
        <v>221.416666678153</v>
      </c>
      <c r="D12" s="34" t="n">
        <v>4.518707483227612</v>
      </c>
      <c r="E12" s="33" t="n">
        <v>7971.000000413507</v>
      </c>
      <c r="F12" s="35" t="n">
        <v>36</v>
      </c>
    </row>
    <row r="13">
      <c r="A13" s="28" t="inlineStr">
        <is>
          <t>09-פבר</t>
        </is>
      </c>
      <c r="B13" s="29" t="n">
        <v>55</v>
      </c>
      <c r="C13" s="30" t="n">
        <v>250.1666666656965</v>
      </c>
      <c r="D13" s="30" t="n">
        <v>4.54848484846721</v>
      </c>
      <c r="E13" s="29" t="n">
        <v>9005.999999965075</v>
      </c>
      <c r="F13" s="31" t="n">
        <v>36</v>
      </c>
    </row>
    <row r="14">
      <c r="A14" s="32" t="inlineStr">
        <is>
          <t>10-פבר</t>
        </is>
      </c>
      <c r="B14" s="33" t="n">
        <v>61</v>
      </c>
      <c r="C14" s="34" t="n">
        <v>280.2500000165892</v>
      </c>
      <c r="D14" s="34" t="n">
        <v>4.594262295353921</v>
      </c>
      <c r="E14" s="33" t="n">
        <v>10089.00000059721</v>
      </c>
      <c r="F14" s="35" t="n">
        <v>36</v>
      </c>
    </row>
    <row r="15">
      <c r="A15" s="28" t="inlineStr">
        <is>
          <t>12-פבר</t>
        </is>
      </c>
      <c r="B15" s="29" t="n">
        <v>52</v>
      </c>
      <c r="C15" s="30" t="n">
        <v>196.3333332962357</v>
      </c>
      <c r="D15" s="30" t="n">
        <v>3.775641024927609</v>
      </c>
      <c r="E15" s="29" t="n">
        <v>7067.999998664483</v>
      </c>
      <c r="F15" s="31" t="n">
        <v>36</v>
      </c>
    </row>
    <row r="16">
      <c r="A16" s="32" t="inlineStr">
        <is>
          <t>24-פבר</t>
        </is>
      </c>
      <c r="B16" s="33" t="n">
        <v>49</v>
      </c>
      <c r="C16" s="34" t="n">
        <v>221.8333333194799</v>
      </c>
      <c r="D16" s="34" t="n">
        <v>4.527210884071019</v>
      </c>
      <c r="E16" s="33" t="n">
        <v>7985.999999501278</v>
      </c>
      <c r="F16" s="35" t="n">
        <v>36</v>
      </c>
    </row>
    <row r="17">
      <c r="A17" s="28" t="inlineStr">
        <is>
          <t>25-פבר</t>
        </is>
      </c>
      <c r="B17" s="29" t="n">
        <v>46</v>
      </c>
      <c r="C17" s="30" t="n">
        <v>190.5000000095461</v>
      </c>
      <c r="D17" s="30" t="n">
        <v>4.14130434803361</v>
      </c>
      <c r="E17" s="29" t="n">
        <v>6858.000000343658</v>
      </c>
      <c r="F17" s="31" t="n">
        <v>36</v>
      </c>
    </row>
    <row r="18">
      <c r="A18" s="32" t="inlineStr">
        <is>
          <t>02-פבר</t>
        </is>
      </c>
      <c r="B18" s="33" t="n">
        <v>38</v>
      </c>
      <c r="C18" s="34" t="n">
        <v>166.7500000036671</v>
      </c>
      <c r="D18" s="34" t="n">
        <v>4.388157894833344</v>
      </c>
      <c r="E18" s="33" t="n">
        <v>6003.000000132015</v>
      </c>
      <c r="F18" s="35" t="n">
        <v>36</v>
      </c>
    </row>
    <row r="19">
      <c r="A19" s="28" t="inlineStr">
        <is>
          <t>15-פבר</t>
        </is>
      </c>
      <c r="B19" s="29" t="n">
        <v>12</v>
      </c>
      <c r="C19" s="30" t="n">
        <v>48.33333335048519</v>
      </c>
      <c r="D19" s="30" t="n">
        <v>4.027777779207099</v>
      </c>
      <c r="E19" s="29" t="n">
        <v>1740.000000617467</v>
      </c>
      <c r="F19" s="31" t="n">
        <v>36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שעות/חניך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49.52941176470588</v>
      </c>
      <c r="D24" s="17" t="n">
        <v>217.0245098050024</v>
      </c>
      <c r="E24" s="17" t="n">
        <v>4.352307857879043</v>
      </c>
      <c r="F24" s="16" t="n">
        <v>132819.0000006615</v>
      </c>
      <c r="G24" s="18" t="n">
        <v>36</v>
      </c>
    </row>
    <row r="25">
      <c r="A25" s="19" t="inlineStr">
        <is>
          <t>תקציב</t>
        </is>
      </c>
      <c r="B25" s="20" t="n">
        <v>14</v>
      </c>
      <c r="C25" s="21" t="n">
        <v>62.25</v>
      </c>
      <c r="D25" s="21" t="n">
        <v>311.25</v>
      </c>
      <c r="E25" s="21" t="n">
        <v>5</v>
      </c>
      <c r="F25" s="20" t="n">
        <v>156870</v>
      </c>
      <c r="G25" s="22" t="n">
        <v>36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CCA41819-84C1-4ABC-A879-41280BAB9782}"/>
</file>

<file path=customXml/itemProps2.xml><?xml version="1.0" encoding="utf-8"?>
<ds:datastoreItem xmlns:ds="http://schemas.openxmlformats.org/officeDocument/2006/customXml" ds:itemID="{9D9F7C12-16BE-4347-8367-22B519030389}"/>
</file>

<file path=customXml/itemProps3.xml><?xml version="1.0" encoding="utf-8"?>
<ds:datastoreItem xmlns:ds="http://schemas.openxmlformats.org/officeDocument/2006/customXml" ds:itemID="{7845CBF1-3528-4F4E-9A21-DD667EA556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2026-03-31T12:00:54Z</dcterms:created>
  <dcterms:modified xsi:type="dcterms:W3CDTF">2026-03-31T12:00:54Z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