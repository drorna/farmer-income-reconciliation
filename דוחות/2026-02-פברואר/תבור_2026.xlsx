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מינואר עד כה" sheetId="1" state="visible" r:id="rId1"/>
    <sheet name="ינואר" sheetId="2" state="visible" r:id="rId2"/>
    <sheet name="פברוא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4B5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right" vertical="center"/>
    </xf>
    <xf numFmtId="3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4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3" fontId="3" fillId="6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4" fontId="3" fillId="6" borderId="1" applyAlignment="1" pivotButton="0" quotePrefix="0" xfId="0">
      <alignment horizontal="center" vertical="center"/>
    </xf>
    <xf numFmtId="165" fontId="3" fillId="6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center" vertical="center"/>
    </xf>
    <xf numFmtId="49" fontId="4" fillId="7" borderId="1" applyAlignment="1" pivotButton="0" quotePrefix="0" xfId="0">
      <alignment horizontal="right" vertical="center"/>
    </xf>
    <xf numFmtId="3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4" fontId="4" fillId="7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6" customWidth="1" min="3" max="3"/>
    <col width="16" customWidth="1" min="4" max="4"/>
    <col width="14" customWidth="1" min="5" max="5"/>
    <col width="15" customWidth="1" min="6" max="6"/>
    <col width="14" customWidth="1" min="7" max="7"/>
    <col width="15" customWidth="1" min="8" max="8"/>
    <col width="15" customWidth="1" min="9" max="9"/>
    <col width="22" customWidth="1" min="10" max="10"/>
    <col width="22" customWidth="1" min="11" max="11"/>
  </cols>
  <sheetData>
    <row r="1" ht="28" customHeight="1">
      <c r="A1" s="1" t="inlineStr">
        <is>
          <t>סיכום מינואר עד פברואר 2026 – תבור</t>
        </is>
      </c>
    </row>
    <row r="2" ht="32" customHeight="1">
      <c r="A2" s="2" t="inlineStr">
        <is>
          <t>חודש</t>
        </is>
      </c>
      <c r="B2" s="3" t="inlineStr">
        <is>
          <t>ימי עבודה</t>
        </is>
      </c>
      <c r="D2" s="3" t="inlineStr">
        <is>
          <t>ממוצע עובדים/יום</t>
        </is>
      </c>
      <c r="F2" s="3" t="inlineStr">
        <is>
          <t>שעות/חניך</t>
        </is>
      </c>
      <c r="H2" s="3" t="inlineStr">
        <is>
          <t>הכנסה (₪)</t>
        </is>
      </c>
      <c r="J2" s="3" t="inlineStr">
        <is>
          <t>תעריף ממוצע בפועל (₪/ש)</t>
        </is>
      </c>
    </row>
    <row r="3" ht="16" customHeight="1">
      <c r="B3" s="4" t="inlineStr">
        <is>
          <t>ביצוע</t>
        </is>
      </c>
      <c r="C3" s="5" t="inlineStr">
        <is>
          <t>תקציב</t>
        </is>
      </c>
      <c r="D3" s="4" t="inlineStr">
        <is>
          <t>ביצוע</t>
        </is>
      </c>
      <c r="E3" s="5" t="inlineStr">
        <is>
          <t>תקציב</t>
        </is>
      </c>
      <c r="F3" s="4" t="inlineStr">
        <is>
          <t>ביצוע</t>
        </is>
      </c>
      <c r="G3" s="5" t="inlineStr">
        <is>
          <t>תקציב</t>
        </is>
      </c>
      <c r="H3" s="4" t="inlineStr">
        <is>
          <t>ביצוע</t>
        </is>
      </c>
      <c r="I3" s="5" t="inlineStr">
        <is>
          <t>תקציב</t>
        </is>
      </c>
      <c r="J3" s="4" t="inlineStr">
        <is>
          <t>ביצוע</t>
        </is>
      </c>
      <c r="K3" s="5" t="inlineStr">
        <is>
          <t>תקציב</t>
        </is>
      </c>
    </row>
    <row r="4">
      <c r="A4" s="6" t="inlineStr">
        <is>
          <t>ינואר</t>
        </is>
      </c>
      <c r="B4" s="7" t="n">
        <v>15</v>
      </c>
      <c r="C4" s="8" t="n">
        <v>17</v>
      </c>
      <c r="D4" s="9" t="n">
        <v>25.73333333333333</v>
      </c>
      <c r="E4" s="10" t="n">
        <v>49.75</v>
      </c>
      <c r="F4" s="9" t="n">
        <v>4.56879912962647</v>
      </c>
      <c r="G4" s="10" t="n">
        <v>4.7</v>
      </c>
      <c r="H4" s="7" t="n">
        <v>50740.50000340631</v>
      </c>
      <c r="I4" s="8" t="n">
        <v>139125.875</v>
      </c>
      <c r="J4" s="11" t="n">
        <v>35</v>
      </c>
      <c r="K4" s="12" t="n">
        <v>35</v>
      </c>
    </row>
    <row r="5">
      <c r="A5" s="6" t="inlineStr">
        <is>
          <t>פברואר</t>
        </is>
      </c>
      <c r="B5" s="7" t="n">
        <v>17</v>
      </c>
      <c r="C5" s="8" t="n">
        <v>16</v>
      </c>
      <c r="D5" s="9" t="n">
        <v>45.94117647058823</v>
      </c>
      <c r="E5" s="10" t="n">
        <v>52.6</v>
      </c>
      <c r="F5" s="9" t="n">
        <v>4.071383139772551</v>
      </c>
      <c r="G5" s="10" t="n">
        <v>5</v>
      </c>
      <c r="H5" s="7" t="n">
        <v>118913.3333406478</v>
      </c>
      <c r="I5" s="8" t="n">
        <v>147280</v>
      </c>
      <c r="J5" s="11" t="n">
        <v>38.08070025598511</v>
      </c>
      <c r="K5" s="12" t="n">
        <v>35</v>
      </c>
    </row>
    <row r="8" ht="22" customHeight="1">
      <c r="A8" s="13" t="inlineStr">
        <is>
          <t>סיכום מצטבר מינואר עד פברואר</t>
        </is>
      </c>
    </row>
    <row r="9" ht="36" customHeight="1">
      <c r="A9" s="14" t="inlineStr"/>
      <c r="B9" s="3" t="inlineStr">
        <is>
          <t>ימי עבודה</t>
        </is>
      </c>
      <c r="C9" s="3" t="inlineStr">
        <is>
          <t>ממוצע עובדים/יום</t>
        </is>
      </c>
      <c r="D9" s="3" t="inlineStr">
        <is>
          <t>ממוצע שעות/יום</t>
        </is>
      </c>
      <c r="E9" s="3" t="inlineStr">
        <is>
          <t>שעות/חניך</t>
        </is>
      </c>
      <c r="F9" s="3" t="inlineStr">
        <is>
          <t>הכנסה (₪)</t>
        </is>
      </c>
      <c r="G9" s="3" t="inlineStr">
        <is>
          <t>תעריף ממוצע בפועל (₪/ש)</t>
        </is>
      </c>
    </row>
    <row r="10">
      <c r="A10" s="15" t="inlineStr">
        <is>
          <t>ביצוע</t>
        </is>
      </c>
      <c r="B10" s="16" t="n">
        <v>32</v>
      </c>
      <c r="C10" s="17" t="n">
        <v>36.46875</v>
      </c>
      <c r="D10" s="17" t="n">
        <v>142.8873512000483</v>
      </c>
      <c r="E10" s="17" t="n">
        <v>4.304546885016575</v>
      </c>
      <c r="F10" s="16" t="n">
        <v>169653.8333440541</v>
      </c>
      <c r="G10" s="18" t="n">
        <v>37.10393010630529</v>
      </c>
    </row>
    <row r="11">
      <c r="A11" s="19" t="inlineStr">
        <is>
          <t>תקציב</t>
        </is>
      </c>
      <c r="B11" s="20" t="n">
        <v>33</v>
      </c>
      <c r="C11" s="21" t="n">
        <v>51.175</v>
      </c>
      <c r="D11" s="21" t="n">
        <v>248.4125</v>
      </c>
      <c r="E11" s="21" t="n">
        <v>4.85</v>
      </c>
      <c r="F11" s="20" t="n">
        <v>286405.875</v>
      </c>
      <c r="G11" s="22" t="n">
        <v>35</v>
      </c>
    </row>
    <row r="13">
      <c r="A13" s="23" t="inlineStr">
        <is>
          <t>פער</t>
        </is>
      </c>
      <c r="B13" s="24">
        <f>B10-B11</f>
        <v/>
      </c>
      <c r="C13" s="25">
        <f>C10-C11</f>
        <v/>
      </c>
      <c r="D13" s="25">
        <f>D10-D11</f>
        <v/>
      </c>
      <c r="E13" s="25">
        <f>E10-E11</f>
        <v/>
      </c>
      <c r="F13" s="24">
        <f>F10-F11</f>
        <v/>
      </c>
      <c r="G13" s="26">
        <f>G10-G11</f>
        <v/>
      </c>
    </row>
    <row r="14">
      <c r="A14" s="23" t="inlineStr">
        <is>
          <t>% פער</t>
        </is>
      </c>
      <c r="B14" s="27">
        <f>IF(B11=0,"",(B10-B11)/B11)</f>
        <v/>
      </c>
      <c r="C14" s="27">
        <f>IF(C11=0,"",(C10-C11)/C11)</f>
        <v/>
      </c>
      <c r="D14" s="27">
        <f>IF(D11=0,"",(D10-D11)/D11)</f>
        <v/>
      </c>
      <c r="E14" s="27">
        <f>IF(E11=0,"",(E10-E11)/E11)</f>
        <v/>
      </c>
      <c r="F14" s="27">
        <f>IF(F11=0,"",(F10-F11)/F11)</f>
        <v/>
      </c>
      <c r="G14" s="27">
        <f>IF(G11=0,"",(G10-G11)/G11)</f>
        <v/>
      </c>
    </row>
  </sheetData>
  <mergeCells count="8">
    <mergeCell ref="F2:G2"/>
    <mergeCell ref="B2:C2"/>
    <mergeCell ref="H2:I2"/>
    <mergeCell ref="D2:E2"/>
    <mergeCell ref="A8:G8"/>
    <mergeCell ref="J2:K2"/>
    <mergeCell ref="A2:A3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16" customWidth="1" min="4" max="4"/>
    <col width="14" customWidth="1" min="5" max="5"/>
    <col width="22" customWidth="1" min="6" max="6"/>
    <col width="24" customWidth="1" min="7" max="7"/>
  </cols>
  <sheetData>
    <row r="1" ht="24" customHeight="1">
      <c r="A1" s="1" t="inlineStr">
        <is>
          <t>ניתוח פערים – תבור – ינואר 2026</t>
        </is>
      </c>
    </row>
    <row r="2" ht="18" customHeight="1">
      <c r="A2" s="2" t="inlineStr">
        <is>
          <t>תאריך</t>
        </is>
      </c>
      <c r="B2" s="2" t="inlineStr">
        <is>
          <t>עובדים</t>
        </is>
      </c>
      <c r="C2" s="2" t="inlineStr">
        <is>
          <t>סך שעות</t>
        </is>
      </c>
      <c r="D2" s="2" t="inlineStr">
        <is>
          <t>שעות/חניך</t>
        </is>
      </c>
      <c r="E2" s="2" t="inlineStr">
        <is>
          <t>הכנסה (₪)</t>
        </is>
      </c>
      <c r="F2" s="2" t="inlineStr">
        <is>
          <t>תעריף ממוצע בפועל (₪/ש)</t>
        </is>
      </c>
    </row>
    <row r="3">
      <c r="A3" s="28" t="inlineStr">
        <is>
          <t>06-ינו</t>
        </is>
      </c>
      <c r="B3" s="29" t="n">
        <v>2</v>
      </c>
      <c r="C3" s="30" t="n">
        <v>12.00000000162981</v>
      </c>
      <c r="D3" s="30" t="n">
        <v>6.000000000814907</v>
      </c>
      <c r="E3" s="29" t="n">
        <v>420.0000000570435</v>
      </c>
      <c r="F3" s="31" t="n">
        <v>35</v>
      </c>
    </row>
    <row r="4">
      <c r="A4" s="32" t="inlineStr">
        <is>
          <t>07-ינו</t>
        </is>
      </c>
      <c r="B4" s="33" t="n">
        <v>4</v>
      </c>
      <c r="C4" s="34" t="n">
        <v>20</v>
      </c>
      <c r="D4" s="34" t="n">
        <v>5</v>
      </c>
      <c r="E4" s="33" t="n">
        <v>700</v>
      </c>
      <c r="F4" s="35" t="n">
        <v>35</v>
      </c>
    </row>
    <row r="5">
      <c r="A5" s="28" t="inlineStr">
        <is>
          <t>13-ינו</t>
        </is>
      </c>
      <c r="B5" s="29" t="n">
        <v>2</v>
      </c>
      <c r="C5" s="30" t="n">
        <v>11.33333333453629</v>
      </c>
      <c r="D5" s="30" t="n">
        <v>5.666666667268146</v>
      </c>
      <c r="E5" s="29" t="n">
        <v>396.6666667087702</v>
      </c>
      <c r="F5" s="31" t="n">
        <v>35</v>
      </c>
    </row>
    <row r="6">
      <c r="A6" s="32" t="inlineStr">
        <is>
          <t>14-ינו</t>
        </is>
      </c>
      <c r="B6" s="33" t="n">
        <v>4</v>
      </c>
      <c r="C6" s="34" t="n">
        <v>19.99999999511056</v>
      </c>
      <c r="D6" s="34" t="n">
        <v>4.999999998777639</v>
      </c>
      <c r="E6" s="33" t="n">
        <v>699.9999998288695</v>
      </c>
      <c r="F6" s="35" t="n">
        <v>35</v>
      </c>
    </row>
    <row r="7">
      <c r="A7" s="28" t="inlineStr">
        <is>
          <t>20-ינו</t>
        </is>
      </c>
      <c r="B7" s="29" t="n">
        <v>23</v>
      </c>
      <c r="C7" s="30" t="n">
        <v>107.8333333483897</v>
      </c>
      <c r="D7" s="30" t="n">
        <v>4.688405797756075</v>
      </c>
      <c r="E7" s="29" t="n">
        <v>3774.16666719364</v>
      </c>
      <c r="F7" s="31" t="n">
        <v>35</v>
      </c>
    </row>
    <row r="8">
      <c r="A8" s="32" t="inlineStr">
        <is>
          <t>21-ינו</t>
        </is>
      </c>
      <c r="B8" s="33" t="n">
        <v>39</v>
      </c>
      <c r="C8" s="34" t="n">
        <v>172.4166666789679</v>
      </c>
      <c r="D8" s="34" t="n">
        <v>4.420940171255586</v>
      </c>
      <c r="E8" s="33" t="n">
        <v>6034.583333763876</v>
      </c>
      <c r="F8" s="35" t="n">
        <v>35</v>
      </c>
    </row>
    <row r="9">
      <c r="A9" s="28" t="inlineStr">
        <is>
          <t>27-ינו</t>
        </is>
      </c>
      <c r="B9" s="29" t="n">
        <v>70</v>
      </c>
      <c r="C9" s="30" t="n">
        <v>142.2619047629913</v>
      </c>
      <c r="D9" s="30" t="n">
        <v>2.03231292518559</v>
      </c>
      <c r="E9" s="29" t="n">
        <v>4979.166666704696</v>
      </c>
      <c r="F9" s="31" t="n">
        <v>34.99999999999999</v>
      </c>
    </row>
    <row r="10">
      <c r="A10" s="32" t="inlineStr">
        <is>
          <t>28-ינו</t>
        </is>
      </c>
      <c r="B10" s="33" t="n">
        <v>28</v>
      </c>
      <c r="C10" s="34" t="n">
        <v>111.9999999998836</v>
      </c>
      <c r="D10" s="34" t="n">
        <v>3.999999999995842</v>
      </c>
      <c r="E10" s="33" t="n">
        <v>3919.999999995925</v>
      </c>
      <c r="F10" s="35" t="n">
        <v>35</v>
      </c>
    </row>
    <row r="11">
      <c r="A11" s="28" t="inlineStr">
        <is>
          <t>19-ינו</t>
        </is>
      </c>
      <c r="B11" s="29" t="n">
        <v>4</v>
      </c>
      <c r="C11" s="30" t="n">
        <v>29</v>
      </c>
      <c r="D11" s="30" t="n">
        <v>7.25</v>
      </c>
      <c r="E11" s="29" t="n">
        <v>1015</v>
      </c>
      <c r="F11" s="31" t="n">
        <v>35</v>
      </c>
    </row>
    <row r="12">
      <c r="A12" s="32" t="inlineStr">
        <is>
          <t>12-ינו</t>
        </is>
      </c>
      <c r="B12" s="33" t="n">
        <v>19</v>
      </c>
      <c r="C12" s="34" t="n">
        <v>78.75000000884756</v>
      </c>
      <c r="D12" s="34" t="n">
        <v>4.144736842570924</v>
      </c>
      <c r="E12" s="33" t="n">
        <v>2756.250000309665</v>
      </c>
      <c r="F12" s="35" t="n">
        <v>35</v>
      </c>
    </row>
    <row r="13">
      <c r="A13" s="28" t="inlineStr">
        <is>
          <t>22-ינו</t>
        </is>
      </c>
      <c r="B13" s="29" t="n">
        <v>50</v>
      </c>
      <c r="C13" s="30" t="n">
        <v>237.5000000423752</v>
      </c>
      <c r="D13" s="30" t="n">
        <v>4.750000000847503</v>
      </c>
      <c r="E13" s="29" t="n">
        <v>8312.500001483131</v>
      </c>
      <c r="F13" s="31" t="n">
        <v>35</v>
      </c>
    </row>
    <row r="14">
      <c r="A14" s="32" t="inlineStr">
        <is>
          <t>25-ינו</t>
        </is>
      </c>
      <c r="B14" s="33" t="n">
        <v>51</v>
      </c>
      <c r="C14" s="34" t="n">
        <v>188.583333341754</v>
      </c>
      <c r="D14" s="34" t="n">
        <v>3.697712418465766</v>
      </c>
      <c r="E14" s="33" t="n">
        <v>6600.416666961391</v>
      </c>
      <c r="F14" s="35" t="n">
        <v>35</v>
      </c>
    </row>
    <row r="15">
      <c r="A15" s="28" t="inlineStr">
        <is>
          <t>26-ינו</t>
        </is>
      </c>
      <c r="B15" s="29" t="n">
        <v>55</v>
      </c>
      <c r="C15" s="30" t="n">
        <v>163.0500000105938</v>
      </c>
      <c r="D15" s="30" t="n">
        <v>2.964545454738069</v>
      </c>
      <c r="E15" s="29" t="n">
        <v>5706.750000370783</v>
      </c>
      <c r="F15" s="31" t="n">
        <v>35</v>
      </c>
    </row>
    <row r="16">
      <c r="A16" s="32" t="inlineStr">
        <is>
          <t>08-ינו</t>
        </is>
      </c>
      <c r="B16" s="33" t="n">
        <v>20</v>
      </c>
      <c r="C16" s="34" t="n">
        <v>85</v>
      </c>
      <c r="D16" s="34" t="n">
        <v>4.25</v>
      </c>
      <c r="E16" s="33" t="n">
        <v>2975</v>
      </c>
      <c r="F16" s="35" t="n">
        <v>35</v>
      </c>
    </row>
    <row r="17">
      <c r="A17" s="28" t="inlineStr">
        <is>
          <t>29-ינו</t>
        </is>
      </c>
      <c r="B17" s="29" t="n">
        <v>15</v>
      </c>
      <c r="C17" s="30" t="n">
        <v>70.00000000081491</v>
      </c>
      <c r="D17" s="30" t="n">
        <v>4.666666666720994</v>
      </c>
      <c r="E17" s="29" t="n">
        <v>2450.000000028522</v>
      </c>
      <c r="F17" s="31" t="n">
        <v>35</v>
      </c>
    </row>
    <row r="20" ht="18" customHeight="1">
      <c r="A20" s="13" t="inlineStr">
        <is>
          <t>סיכום חודשי</t>
        </is>
      </c>
    </row>
    <row r="21" ht="32" customHeight="1">
      <c r="A21" s="36" t="inlineStr"/>
      <c r="B21" s="3" t="inlineStr">
        <is>
          <t>ימי עבודה</t>
        </is>
      </c>
      <c r="C21" s="3" t="inlineStr">
        <is>
          <t>ממוצע עובדים/יום</t>
        </is>
      </c>
      <c r="D21" s="3" t="inlineStr">
        <is>
          <t>ממוצע שעות/יום</t>
        </is>
      </c>
      <c r="E21" s="3" t="inlineStr">
        <is>
          <t>שעות/חניך</t>
        </is>
      </c>
      <c r="F21" s="3" t="inlineStr">
        <is>
          <t>הכנסה (₪)</t>
        </is>
      </c>
      <c r="G21" s="3" t="inlineStr">
        <is>
          <t>תעריף ממוצע בפועל (₪/ש)</t>
        </is>
      </c>
    </row>
    <row r="22">
      <c r="A22" s="15" t="inlineStr">
        <is>
          <t>ביצוע</t>
        </is>
      </c>
      <c r="B22" s="16" t="n">
        <v>15</v>
      </c>
      <c r="C22" s="17" t="n">
        <v>25.73333333333333</v>
      </c>
      <c r="D22" s="17" t="n">
        <v>96.64857143505965</v>
      </c>
      <c r="E22" s="17" t="n">
        <v>4.56879912962647</v>
      </c>
      <c r="F22" s="16" t="n">
        <v>50740.50000340631</v>
      </c>
      <c r="G22" s="18" t="n">
        <v>35</v>
      </c>
    </row>
    <row r="23">
      <c r="A23" s="19" t="inlineStr">
        <is>
          <t>תקציב</t>
        </is>
      </c>
      <c r="B23" s="20" t="n">
        <v>17</v>
      </c>
      <c r="C23" s="21" t="n">
        <v>49.75</v>
      </c>
      <c r="D23" s="21" t="n">
        <v>233.825</v>
      </c>
      <c r="E23" s="21" t="n">
        <v>4.7</v>
      </c>
      <c r="F23" s="20" t="n">
        <v>139125.875</v>
      </c>
      <c r="G23" s="22" t="n">
        <v>35</v>
      </c>
    </row>
    <row r="25">
      <c r="A25" s="23" t="inlineStr">
        <is>
          <t>פער</t>
        </is>
      </c>
      <c r="B25" s="24">
        <f>B22-B23</f>
        <v/>
      </c>
      <c r="C25" s="25">
        <f>C22-C23</f>
        <v/>
      </c>
      <c r="D25" s="25">
        <f>D22-D23</f>
        <v/>
      </c>
      <c r="E25" s="25">
        <f>E22-E23</f>
        <v/>
      </c>
      <c r="F25" s="24">
        <f>F22-F23</f>
        <v/>
      </c>
      <c r="G25" s="26">
        <f>G22-G23</f>
        <v/>
      </c>
    </row>
    <row r="26">
      <c r="A26" s="23" t="inlineStr">
        <is>
          <t>% פער</t>
        </is>
      </c>
      <c r="B26" s="27">
        <f>IF(B23=0,"",(B22-B23)/B23)</f>
        <v/>
      </c>
      <c r="C26" s="27">
        <f>IF(C23=0,"",(C22-C23)/C23)</f>
        <v/>
      </c>
      <c r="D26" s="27">
        <f>IF(D23=0,"",(D22-D23)/D23)</f>
        <v/>
      </c>
      <c r="E26" s="27">
        <f>IF(E23=0,"",(E22-E23)/E23)</f>
        <v/>
      </c>
      <c r="F26" s="27">
        <f>IF(F23=0,"",(F22-F23)/F23)</f>
        <v/>
      </c>
      <c r="G26" s="27">
        <f>IF(G23=0,"",(G22-G23)/G23)</f>
        <v/>
      </c>
    </row>
  </sheetData>
  <mergeCells count="2">
    <mergeCell ref="A20:G20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16" customWidth="1" min="4" max="4"/>
    <col width="14" customWidth="1" min="5" max="5"/>
    <col width="22" customWidth="1" min="6" max="6"/>
    <col width="24" customWidth="1" min="7" max="7"/>
  </cols>
  <sheetData>
    <row r="1" ht="24" customHeight="1">
      <c r="A1" s="1" t="inlineStr">
        <is>
          <t>ניתוח פערים – תבור – פברואר 2026</t>
        </is>
      </c>
    </row>
    <row r="2" ht="18" customHeight="1">
      <c r="A2" s="2" t="inlineStr">
        <is>
          <t>תאריך</t>
        </is>
      </c>
      <c r="B2" s="2" t="inlineStr">
        <is>
          <t>עובדים</t>
        </is>
      </c>
      <c r="C2" s="2" t="inlineStr">
        <is>
          <t>סך שעות</t>
        </is>
      </c>
      <c r="D2" s="2" t="inlineStr">
        <is>
          <t>שעות/חניך</t>
        </is>
      </c>
      <c r="E2" s="2" t="inlineStr">
        <is>
          <t>הכנסה (₪)</t>
        </is>
      </c>
      <c r="F2" s="2" t="inlineStr">
        <is>
          <t>תעריף ממוצע בפועל (₪/ש)</t>
        </is>
      </c>
    </row>
    <row r="3">
      <c r="A3" s="28" t="inlineStr">
        <is>
          <t>17-פבר</t>
        </is>
      </c>
      <c r="B3" s="29" t="n">
        <v>47</v>
      </c>
      <c r="C3" s="30" t="n">
        <v>219.5833333256887</v>
      </c>
      <c r="D3" s="30" t="n">
        <v>4.671985815440186</v>
      </c>
      <c r="E3" s="29" t="n">
        <v>7685.416666399105</v>
      </c>
      <c r="F3" s="31" t="n">
        <v>35</v>
      </c>
    </row>
    <row r="4">
      <c r="A4" s="32" t="inlineStr">
        <is>
          <t>18-פבר</t>
        </is>
      </c>
      <c r="B4" s="33" t="n">
        <v>71</v>
      </c>
      <c r="C4" s="34" t="n">
        <v>124.8333333377959</v>
      </c>
      <c r="D4" s="34" t="n">
        <v>1.758215962504168</v>
      </c>
      <c r="E4" s="33" t="n">
        <v>9784.166666822857</v>
      </c>
      <c r="F4" s="35" t="n">
        <v>78.37783711460419</v>
      </c>
    </row>
    <row r="5">
      <c r="A5" s="28" t="inlineStr">
        <is>
          <t>03-פבר</t>
        </is>
      </c>
      <c r="B5" s="29" t="n">
        <v>2</v>
      </c>
      <c r="C5" s="30" t="n">
        <v>11.5</v>
      </c>
      <c r="D5" s="30" t="n">
        <v>5.75</v>
      </c>
      <c r="E5" s="29" t="n">
        <v>402.5</v>
      </c>
      <c r="F5" s="31" t="n">
        <v>35</v>
      </c>
    </row>
    <row r="6">
      <c r="A6" s="32" t="inlineStr">
        <is>
          <t>04-פבר</t>
        </is>
      </c>
      <c r="B6" s="33" t="n">
        <v>50</v>
      </c>
      <c r="C6" s="34" t="n">
        <v>153.3333333435585</v>
      </c>
      <c r="D6" s="34" t="n">
        <v>3.06666666687117</v>
      </c>
      <c r="E6" s="33" t="n">
        <v>5366.666667024547</v>
      </c>
      <c r="F6" s="35" t="n">
        <v>35</v>
      </c>
    </row>
    <row r="7">
      <c r="A7" s="28" t="inlineStr">
        <is>
          <t>10-פבר</t>
        </is>
      </c>
      <c r="B7" s="29" t="n">
        <v>44</v>
      </c>
      <c r="C7" s="30" t="n">
        <v>190.7500000342261</v>
      </c>
      <c r="D7" s="30" t="n">
        <v>4.335227273505139</v>
      </c>
      <c r="E7" s="29" t="n">
        <v>7546.250001197914</v>
      </c>
      <c r="F7" s="31" t="n">
        <v>39.56094364269408</v>
      </c>
    </row>
    <row r="8">
      <c r="A8" s="32" t="inlineStr">
        <is>
          <t>11-פבר</t>
        </is>
      </c>
      <c r="B8" s="33" t="n">
        <v>45</v>
      </c>
      <c r="C8" s="34" t="n">
        <v>145.249999992724</v>
      </c>
      <c r="D8" s="34" t="n">
        <v>3.22777777761609</v>
      </c>
      <c r="E8" s="33" t="n">
        <v>5953.749999745341</v>
      </c>
      <c r="F8" s="35" t="n">
        <v>40.98967297792483</v>
      </c>
    </row>
    <row r="9">
      <c r="A9" s="28" t="inlineStr">
        <is>
          <t>02-פבר</t>
        </is>
      </c>
      <c r="B9" s="29" t="n">
        <v>52</v>
      </c>
      <c r="C9" s="30" t="n">
        <v>197.7499999779393</v>
      </c>
      <c r="D9" s="30" t="n">
        <v>3.802884614960371</v>
      </c>
      <c r="E9" s="29" t="n">
        <v>8516.249999227875</v>
      </c>
      <c r="F9" s="31" t="n">
        <v>43.06573957106415</v>
      </c>
    </row>
    <row r="10">
      <c r="A10" s="32" t="inlineStr">
        <is>
          <t>05-פבר</t>
        </is>
      </c>
      <c r="B10" s="33" t="n">
        <v>46</v>
      </c>
      <c r="C10" s="34" t="n">
        <v>158.5000000358559</v>
      </c>
      <c r="D10" s="34" t="n">
        <v>3.44565217469252</v>
      </c>
      <c r="E10" s="33" t="n">
        <v>5547.500001254957</v>
      </c>
      <c r="F10" s="35" t="n">
        <v>35</v>
      </c>
    </row>
    <row r="11">
      <c r="A11" s="28" t="inlineStr">
        <is>
          <t>09-פבר</t>
        </is>
      </c>
      <c r="B11" s="29" t="n">
        <v>48</v>
      </c>
      <c r="C11" s="30" t="n">
        <v>202.6666666354868</v>
      </c>
      <c r="D11" s="30" t="n">
        <v>4.222222221572641</v>
      </c>
      <c r="E11" s="29" t="n">
        <v>7963.333332242037</v>
      </c>
      <c r="F11" s="31" t="n">
        <v>39.29276315855517</v>
      </c>
    </row>
    <row r="12">
      <c r="A12" s="32" t="inlineStr">
        <is>
          <t>12-פבר</t>
        </is>
      </c>
      <c r="B12" s="33" t="n">
        <v>27</v>
      </c>
      <c r="C12" s="34" t="n">
        <v>119.3333333489718</v>
      </c>
      <c r="D12" s="34" t="n">
        <v>4.419753086998956</v>
      </c>
      <c r="E12" s="33" t="n">
        <v>4176.666667214013</v>
      </c>
      <c r="F12" s="35" t="n">
        <v>35</v>
      </c>
    </row>
    <row r="13">
      <c r="A13" s="28" t="inlineStr">
        <is>
          <t>15-פבר</t>
        </is>
      </c>
      <c r="B13" s="29" t="n">
        <v>16</v>
      </c>
      <c r="C13" s="30" t="n">
        <v>49.33333333674818</v>
      </c>
      <c r="D13" s="30" t="n">
        <v>3.083333333546761</v>
      </c>
      <c r="E13" s="29" t="n">
        <v>1726.666666786186</v>
      </c>
      <c r="F13" s="31" t="n">
        <v>35</v>
      </c>
    </row>
    <row r="14">
      <c r="A14" s="32" t="inlineStr">
        <is>
          <t>16-פבר</t>
        </is>
      </c>
      <c r="B14" s="33" t="n">
        <v>54</v>
      </c>
      <c r="C14" s="34" t="n">
        <v>256.7500000624568</v>
      </c>
      <c r="D14" s="34" t="n">
        <v>4.754629630786237</v>
      </c>
      <c r="E14" s="33" t="n">
        <v>8986.250002185989</v>
      </c>
      <c r="F14" s="35" t="n">
        <v>35</v>
      </c>
    </row>
    <row r="15">
      <c r="A15" s="28" t="inlineStr">
        <is>
          <t>19-פבר</t>
        </is>
      </c>
      <c r="B15" s="29" t="n">
        <v>93</v>
      </c>
      <c r="C15" s="30" t="n">
        <v>454.4166667393874</v>
      </c>
      <c r="D15" s="30" t="n">
        <v>4.886200717627822</v>
      </c>
      <c r="E15" s="29" t="n">
        <v>15904.58333587856</v>
      </c>
      <c r="F15" s="31" t="n">
        <v>35</v>
      </c>
    </row>
    <row r="16">
      <c r="A16" s="32" t="inlineStr">
        <is>
          <t>23-פבר</t>
        </is>
      </c>
      <c r="B16" s="33" t="n">
        <v>53</v>
      </c>
      <c r="C16" s="34" t="n">
        <v>233.9166666707606</v>
      </c>
      <c r="D16" s="34" t="n">
        <v>4.413522012655861</v>
      </c>
      <c r="E16" s="33" t="n">
        <v>8187.083333476621</v>
      </c>
      <c r="F16" s="35" t="n">
        <v>35</v>
      </c>
    </row>
    <row r="17">
      <c r="A17" s="28" t="inlineStr">
        <is>
          <t>25-פבר</t>
        </is>
      </c>
      <c r="B17" s="29" t="n">
        <v>58</v>
      </c>
      <c r="C17" s="30" t="n">
        <v>293.0000000220025</v>
      </c>
      <c r="D17" s="30" t="n">
        <v>5.051724138310388</v>
      </c>
      <c r="E17" s="29" t="n">
        <v>10255.00000077009</v>
      </c>
      <c r="F17" s="31" t="n">
        <v>35</v>
      </c>
    </row>
    <row r="18">
      <c r="A18" s="32" t="inlineStr">
        <is>
          <t>26-פבר</t>
        </is>
      </c>
      <c r="B18" s="33" t="n">
        <v>39</v>
      </c>
      <c r="C18" s="34" t="n">
        <v>157.2500000035507</v>
      </c>
      <c r="D18" s="34" t="n">
        <v>4.032051282142325</v>
      </c>
      <c r="E18" s="33" t="n">
        <v>5503.750000124273</v>
      </c>
      <c r="F18" s="35" t="n">
        <v>35</v>
      </c>
    </row>
    <row r="19">
      <c r="A19" s="28" t="inlineStr">
        <is>
          <t>24-פבר</t>
        </is>
      </c>
      <c r="B19" s="29" t="n">
        <v>36</v>
      </c>
      <c r="C19" s="30" t="n">
        <v>154.5000000084983</v>
      </c>
      <c r="D19" s="30" t="n">
        <v>4.291666666902731</v>
      </c>
      <c r="E19" s="29" t="n">
        <v>5407.500000297441</v>
      </c>
      <c r="F19" s="31" t="n">
        <v>35</v>
      </c>
    </row>
    <row r="22" ht="18" customHeight="1">
      <c r="A22" s="13" t="inlineStr">
        <is>
          <t>סיכום חודשי</t>
        </is>
      </c>
    </row>
    <row r="23" ht="32" customHeight="1">
      <c r="A23" s="36" t="inlineStr"/>
      <c r="B23" s="3" t="inlineStr">
        <is>
          <t>ימי עבודה</t>
        </is>
      </c>
      <c r="C23" s="3" t="inlineStr">
        <is>
          <t>ממוצע עובדים/יום</t>
        </is>
      </c>
      <c r="D23" s="3" t="inlineStr">
        <is>
          <t>ממוצע שעות/יום</t>
        </is>
      </c>
      <c r="E23" s="3" t="inlineStr">
        <is>
          <t>שעות/חניך</t>
        </is>
      </c>
      <c r="F23" s="3" t="inlineStr">
        <is>
          <t>הכנסה (₪)</t>
        </is>
      </c>
      <c r="G23" s="3" t="inlineStr">
        <is>
          <t>תעריף ממוצע בפועל (₪/ש)</t>
        </is>
      </c>
    </row>
    <row r="24">
      <c r="A24" s="15" t="inlineStr">
        <is>
          <t>ביצוע</t>
        </is>
      </c>
      <c r="B24" s="16" t="n">
        <v>17</v>
      </c>
      <c r="C24" s="17" t="n">
        <v>45.94117647058823</v>
      </c>
      <c r="D24" s="17" t="n">
        <v>183.6862745220972</v>
      </c>
      <c r="E24" s="17" t="n">
        <v>4.071383139772551</v>
      </c>
      <c r="F24" s="16" t="n">
        <v>118913.3333406478</v>
      </c>
      <c r="G24" s="18" t="n">
        <v>38.08070025598511</v>
      </c>
    </row>
    <row r="25">
      <c r="A25" s="19" t="inlineStr">
        <is>
          <t>תקציב</t>
        </is>
      </c>
      <c r="B25" s="20" t="n">
        <v>16</v>
      </c>
      <c r="C25" s="21" t="n">
        <v>52.6</v>
      </c>
      <c r="D25" s="21" t="n">
        <v>263</v>
      </c>
      <c r="E25" s="21" t="n">
        <v>5</v>
      </c>
      <c r="F25" s="20" t="n">
        <v>147280</v>
      </c>
      <c r="G25" s="22" t="n">
        <v>35</v>
      </c>
    </row>
    <row r="27">
      <c r="A27" s="23" t="inlineStr">
        <is>
          <t>פער</t>
        </is>
      </c>
      <c r="B27" s="24">
        <f>B24-B25</f>
        <v/>
      </c>
      <c r="C27" s="25">
        <f>C24-C25</f>
        <v/>
      </c>
      <c r="D27" s="25">
        <f>D24-D25</f>
        <v/>
      </c>
      <c r="E27" s="25">
        <f>E24-E25</f>
        <v/>
      </c>
      <c r="F27" s="24">
        <f>F24-F25</f>
        <v/>
      </c>
      <c r="G27" s="26">
        <f>G24-G25</f>
        <v/>
      </c>
    </row>
    <row r="28">
      <c r="A28" s="23" t="inlineStr">
        <is>
          <t>% פער</t>
        </is>
      </c>
      <c r="B28" s="27">
        <f>IF(B25=0,"",(B24-B25)/B25)</f>
        <v/>
      </c>
      <c r="C28" s="27">
        <f>IF(C25=0,"",(C24-C25)/C25)</f>
        <v/>
      </c>
      <c r="D28" s="27">
        <f>IF(D25=0,"",(D24-D25)/D25)</f>
        <v/>
      </c>
      <c r="E28" s="27">
        <f>IF(E25=0,"",(E24-E25)/E25)</f>
        <v/>
      </c>
      <c r="F28" s="27">
        <f>IF(F25=0,"",(F24-F25)/F25)</f>
        <v/>
      </c>
      <c r="G28" s="27">
        <f>IF(G25=0,"",(G24-G25)/G25)</f>
        <v/>
      </c>
    </row>
  </sheetData>
  <mergeCells count="2">
    <mergeCell ref="A22:G22"/>
    <mergeCell ref="A1:G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C51B2DF52839A24880F5A44990A2903E" ma:contentTypeVersion="20" ma:contentTypeDescription="צור מסמך חדש." ma:contentTypeScope="" ma:versionID="6d7b22392d9f15dd71f146f17d92e7f1">
  <xsd:schema xmlns:xsd="http://www.w3.org/2001/XMLSchema" xmlns:xs="http://www.w3.org/2001/XMLSchema" xmlns:p="http://schemas.microsoft.com/office/2006/metadata/properties" xmlns:ns2="3b171586-1276-4147-a472-75ee4e8864b8" xmlns:ns3="9f5944b6-fab9-47ef-9172-7602c374cd8e" targetNamespace="http://schemas.microsoft.com/office/2006/metadata/properties" ma:root="true" ma:fieldsID="00e5fd02fb1f8aea850892db633e4248" ns2:_="" ns3:_="">
    <xsd:import namespace="3b171586-1276-4147-a472-75ee4e8864b8"/>
    <xsd:import namespace="9f5944b6-fab9-47ef-9172-7602c374cd8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2:TaxCatchAll" minOccurs="0"/>
                <xsd:element ref="ns3:lcf76f155ced4ddcb4097134ff3c332f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71586-1276-4147-a472-75ee4e8864b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2e69935c-3901-4902-9a24-c84c2fa51e43}" ma:internalName="TaxCatchAll" ma:showField="CatchAllData" ma:web="3b171586-1276-4147-a472-75ee4e8864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5944b6-fab9-47ef-9172-7602c374cd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תגיות תמונה" ma:readOnly="false" ma:fieldId="{5cf76f15-5ced-4ddc-b409-7134ff3c332f}" ma:taxonomyMulti="true" ma:sspId="bbfaf555-2751-48bb-be26-f13bc84f1c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5944b6-fab9-47ef-9172-7602c374cd8e">
      <Terms xmlns="http://schemas.microsoft.com/office/infopath/2007/PartnerControls"/>
    </lcf76f155ced4ddcb4097134ff3c332f>
    <TaxCatchAll xmlns="3b171586-1276-4147-a472-75ee4e8864b8" xsi:nil="true"/>
  </documentManagement>
</p:properties>
</file>

<file path=customXml/itemProps1.xml><?xml version="1.0" encoding="utf-8"?>
<ds:datastoreItem xmlns:ds="http://schemas.openxmlformats.org/officeDocument/2006/customXml" ds:itemID="{79E0B29A-CF44-47F6-B94C-24F0663F1ABB}"/>
</file>

<file path=customXml/itemProps2.xml><?xml version="1.0" encoding="utf-8"?>
<ds:datastoreItem xmlns:ds="http://schemas.openxmlformats.org/officeDocument/2006/customXml" ds:itemID="{AA7B08EF-E1CA-413E-A345-AF4DE527A73C}"/>
</file>

<file path=customXml/itemProps3.xml><?xml version="1.0" encoding="utf-8"?>
<ds:datastoreItem xmlns:ds="http://schemas.openxmlformats.org/officeDocument/2006/customXml" ds:itemID="{74ECC054-102C-4413-89D3-D7F532F06DA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2026-03-31T12:05:31Z</dcterms:created>
  <dcterms:modified xsi:type="dcterms:W3CDTF">2026-03-31T12:05:32Z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0x010100C51B2DF52839A24880F5A44990A2903E</vt:lpwstr>
  </property>
</Properties>
</file>