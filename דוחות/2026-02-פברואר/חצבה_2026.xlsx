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נואר עד כה" sheetId="1" state="visible" r:id="rId1"/>
    <sheet name="ינואר" sheetId="2" state="visible" r:id="rId2"/>
    <sheet name="פברוא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22" customWidth="1" min="10" max="10"/>
    <col width="22" customWidth="1" min="11" max="11"/>
  </cols>
  <sheetData>
    <row r="1" ht="28" customHeight="1">
      <c r="A1" s="1" t="inlineStr">
        <is>
          <t>סיכום מינואר עד פברואר 2026 – חצבה</t>
        </is>
      </c>
    </row>
    <row r="2" ht="32" customHeight="1">
      <c r="A2" s="2" t="inlineStr">
        <is>
          <t>חודש</t>
        </is>
      </c>
      <c r="B2" s="3" t="inlineStr">
        <is>
          <t>ימי עבודה</t>
        </is>
      </c>
      <c r="D2" s="3" t="inlineStr">
        <is>
          <t>ממוצע עובדים/יום</t>
        </is>
      </c>
      <c r="F2" s="3" t="inlineStr">
        <is>
          <t>שעות/חניך</t>
        </is>
      </c>
      <c r="H2" s="3" t="inlineStr">
        <is>
          <t>הכנסה (₪)</t>
        </is>
      </c>
      <c r="J2" s="3" t="inlineStr">
        <is>
          <t>תעריף ממוצע בפועל (₪/ש)</t>
        </is>
      </c>
    </row>
    <row r="3" ht="16" customHeight="1">
      <c r="B3" s="4" t="inlineStr">
        <is>
          <t>ביצוע</t>
        </is>
      </c>
      <c r="C3" s="5" t="inlineStr">
        <is>
          <t>תקציב</t>
        </is>
      </c>
      <c r="D3" s="4" t="inlineStr">
        <is>
          <t>ביצוע</t>
        </is>
      </c>
      <c r="E3" s="5" t="inlineStr">
        <is>
          <t>תקציב</t>
        </is>
      </c>
      <c r="F3" s="4" t="inlineStr">
        <is>
          <t>ביצוע</t>
        </is>
      </c>
      <c r="G3" s="5" t="inlineStr">
        <is>
          <t>תקציב</t>
        </is>
      </c>
      <c r="H3" s="4" t="inlineStr">
        <is>
          <t>ביצוע</t>
        </is>
      </c>
      <c r="I3" s="5" t="inlineStr">
        <is>
          <t>תקציב</t>
        </is>
      </c>
      <c r="J3" s="4" t="inlineStr">
        <is>
          <t>ביצוע</t>
        </is>
      </c>
      <c r="K3" s="5" t="inlineStr">
        <is>
          <t>תקציב</t>
        </is>
      </c>
    </row>
    <row r="4">
      <c r="A4" s="6" t="inlineStr">
        <is>
          <t>ינואר</t>
        </is>
      </c>
      <c r="B4" s="7" t="n">
        <v>17</v>
      </c>
      <c r="C4" s="8" t="n">
        <v>17</v>
      </c>
      <c r="D4" s="9" t="n">
        <v>70.23529411764706</v>
      </c>
      <c r="E4" s="10" t="n">
        <v>79.19999999999999</v>
      </c>
      <c r="F4" s="9" t="n">
        <v>4.133267428495277</v>
      </c>
      <c r="G4" s="10" t="n">
        <v>5</v>
      </c>
      <c r="H4" s="7" t="n">
        <v>166841.9833348126</v>
      </c>
      <c r="I4" s="8" t="n">
        <v>235620</v>
      </c>
      <c r="J4" s="11" t="n">
        <v>33.91361454315263</v>
      </c>
      <c r="K4" s="12" t="n">
        <v>35</v>
      </c>
    </row>
    <row r="5">
      <c r="A5" s="6" t="inlineStr">
        <is>
          <t>פברואר</t>
        </is>
      </c>
      <c r="B5" s="7" t="n">
        <v>16</v>
      </c>
      <c r="C5" s="8" t="n">
        <v>16</v>
      </c>
      <c r="D5" s="9" t="n">
        <v>75.25</v>
      </c>
      <c r="E5" s="10" t="n">
        <v>79.19999999999999</v>
      </c>
      <c r="F5" s="9" t="n">
        <v>4.029902426675786</v>
      </c>
      <c r="G5" s="10" t="n">
        <v>5</v>
      </c>
      <c r="H5" s="7" t="n">
        <v>165994.5833345683</v>
      </c>
      <c r="I5" s="8" t="n">
        <v>221760</v>
      </c>
      <c r="J5" s="11" t="n">
        <v>34.17905812345033</v>
      </c>
      <c r="K5" s="12" t="n">
        <v>35</v>
      </c>
    </row>
    <row r="8" ht="22" customHeight="1">
      <c r="A8" s="13" t="inlineStr">
        <is>
          <t>סיכום מצטבר מינואר עד פברואר</t>
        </is>
      </c>
    </row>
    <row r="9" ht="36" customHeight="1">
      <c r="A9" s="14" t="inlineStr"/>
      <c r="B9" s="3" t="inlineStr">
        <is>
          <t>ימי עבודה</t>
        </is>
      </c>
      <c r="C9" s="3" t="inlineStr">
        <is>
          <t>ממוצע עובדים/יום</t>
        </is>
      </c>
      <c r="D9" s="3" t="inlineStr">
        <is>
          <t>ממוצע שעות/יום</t>
        </is>
      </c>
      <c r="E9" s="3" t="inlineStr">
        <is>
          <t>שעות/חניך</t>
        </is>
      </c>
      <c r="F9" s="3" t="inlineStr">
        <is>
          <t>הכנסה (₪)</t>
        </is>
      </c>
      <c r="G9" s="3" t="inlineStr">
        <is>
          <t>תעריף ממוצע בפועל (₪/ש)</t>
        </is>
      </c>
    </row>
    <row r="10">
      <c r="A10" s="15" t="inlineStr">
        <is>
          <t>ביצוע</t>
        </is>
      </c>
      <c r="B10" s="16" t="n">
        <v>33</v>
      </c>
      <c r="C10" s="17" t="n">
        <v>72.66666666666667</v>
      </c>
      <c r="D10" s="17" t="n">
        <v>296.2494949518636</v>
      </c>
      <c r="E10" s="17" t="n">
        <v>4.083151063976735</v>
      </c>
      <c r="F10" s="16" t="n">
        <v>332836.5666693809</v>
      </c>
      <c r="G10" s="18" t="n">
        <v>34.04548104757998</v>
      </c>
    </row>
    <row r="11">
      <c r="A11" s="19" t="inlineStr">
        <is>
          <t>תקציב</t>
        </is>
      </c>
      <c r="B11" s="20" t="n">
        <v>33</v>
      </c>
      <c r="C11" s="21" t="n">
        <v>79.19999999999999</v>
      </c>
      <c r="D11" s="21" t="n">
        <v>395.9999999999999</v>
      </c>
      <c r="E11" s="21" t="n">
        <v>5</v>
      </c>
      <c r="F11" s="20" t="n">
        <v>457379.9999999999</v>
      </c>
      <c r="G11" s="22" t="n">
        <v>35</v>
      </c>
    </row>
    <row r="13">
      <c r="A13" s="23" t="inlineStr">
        <is>
          <t>פער</t>
        </is>
      </c>
      <c r="B13" s="24">
        <f>B10-B11</f>
        <v/>
      </c>
      <c r="C13" s="25">
        <f>C10-C11</f>
        <v/>
      </c>
      <c r="D13" s="25">
        <f>D10-D11</f>
        <v/>
      </c>
      <c r="E13" s="25">
        <f>E10-E11</f>
        <v/>
      </c>
      <c r="F13" s="24">
        <f>F10-F11</f>
        <v/>
      </c>
      <c r="G13" s="26">
        <f>G10-G11</f>
        <v/>
      </c>
    </row>
    <row r="14">
      <c r="A14" s="23" t="inlineStr">
        <is>
          <t>% פער</t>
        </is>
      </c>
      <c r="B14" s="27">
        <f>IF(B11=0,"",(B10-B11)/B11)</f>
        <v/>
      </c>
      <c r="C14" s="27">
        <f>IF(C11=0,"",(C10-C11)/C11)</f>
        <v/>
      </c>
      <c r="D14" s="27">
        <f>IF(D11=0,"",(D10-D11)/D11)</f>
        <v/>
      </c>
      <c r="E14" s="27">
        <f>IF(E11=0,"",(E10-E11)/E11)</f>
        <v/>
      </c>
      <c r="F14" s="27">
        <f>IF(F11=0,"",(F10-F11)/F11)</f>
        <v/>
      </c>
      <c r="G14" s="27">
        <f>IF(G11=0,"",(G10-G11)/G11)</f>
        <v/>
      </c>
    </row>
  </sheetData>
  <mergeCells count="8">
    <mergeCell ref="F2:G2"/>
    <mergeCell ref="B2:C2"/>
    <mergeCell ref="H2:I2"/>
    <mergeCell ref="D2:E2"/>
    <mergeCell ref="A8:G8"/>
    <mergeCell ref="J2:K2"/>
    <mergeCell ref="A2:A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חצבה – ינואר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01-ינו</t>
        </is>
      </c>
      <c r="B3" s="29" t="n">
        <v>76</v>
      </c>
      <c r="C3" s="30" t="n">
        <v>297.1166666714125</v>
      </c>
      <c r="D3" s="30" t="n">
        <v>3.909429824623849</v>
      </c>
      <c r="E3" s="29" t="n">
        <v>9972.08333356498</v>
      </c>
      <c r="F3" s="31" t="n">
        <v>33.5628540979605</v>
      </c>
    </row>
    <row r="4">
      <c r="A4" s="32" t="inlineStr">
        <is>
          <t>05-ינו</t>
        </is>
      </c>
      <c r="B4" s="33" t="n">
        <v>85</v>
      </c>
      <c r="C4" s="34" t="n">
        <v>366.4833333478348</v>
      </c>
      <c r="D4" s="34" t="n">
        <v>4.311568627621586</v>
      </c>
      <c r="E4" s="33" t="n">
        <v>12304.16666716688</v>
      </c>
      <c r="F4" s="35" t="n">
        <v>33.57360498434677</v>
      </c>
    </row>
    <row r="5">
      <c r="A5" s="28" t="inlineStr">
        <is>
          <t>06-ינו</t>
        </is>
      </c>
      <c r="B5" s="29" t="n">
        <v>80</v>
      </c>
      <c r="C5" s="30" t="n">
        <v>333.2666666739387</v>
      </c>
      <c r="D5" s="30" t="n">
        <v>4.165833333424234</v>
      </c>
      <c r="E5" s="29" t="n">
        <v>11221.58333358786</v>
      </c>
      <c r="F5" s="31" t="n">
        <v>33.67148429688836</v>
      </c>
    </row>
    <row r="6">
      <c r="A6" s="32" t="inlineStr">
        <is>
          <t>07-ינו</t>
        </is>
      </c>
      <c r="B6" s="33" t="n">
        <v>57</v>
      </c>
      <c r="C6" s="34" t="n">
        <v>240.1000000160808</v>
      </c>
      <c r="D6" s="34" t="n">
        <v>4.212280702036506</v>
      </c>
      <c r="E6" s="33" t="n">
        <v>8096.750000528836</v>
      </c>
      <c r="F6" s="35" t="n">
        <v>33.72240733022304</v>
      </c>
    </row>
    <row r="7">
      <c r="A7" s="28" t="inlineStr">
        <is>
          <t>08-ינו</t>
        </is>
      </c>
      <c r="B7" s="29" t="n">
        <v>61</v>
      </c>
      <c r="C7" s="30" t="n">
        <v>249.566666670066</v>
      </c>
      <c r="D7" s="30" t="n">
        <v>4.091256830656819</v>
      </c>
      <c r="E7" s="29" t="n">
        <v>8409.08333345231</v>
      </c>
      <c r="F7" s="31" t="n">
        <v>33.69473754509592</v>
      </c>
    </row>
    <row r="8">
      <c r="A8" s="32" t="inlineStr">
        <is>
          <t>12-ינו</t>
        </is>
      </c>
      <c r="B8" s="33" t="n">
        <v>59</v>
      </c>
      <c r="C8" s="34" t="n">
        <v>250.3166666600155</v>
      </c>
      <c r="D8" s="34" t="n">
        <v>4.242655367118906</v>
      </c>
      <c r="E8" s="33" t="n">
        <v>8442.833333100541</v>
      </c>
      <c r="F8" s="35" t="n">
        <v>33.72861042675895</v>
      </c>
    </row>
    <row r="9">
      <c r="A9" s="28" t="inlineStr">
        <is>
          <t>13-ינו</t>
        </is>
      </c>
      <c r="B9" s="29" t="n">
        <v>74</v>
      </c>
      <c r="C9" s="30" t="n">
        <v>301.0833333312495</v>
      </c>
      <c r="D9" s="30" t="n">
        <v>4.068693693665534</v>
      </c>
      <c r="E9" s="29" t="n">
        <v>10237.66666659373</v>
      </c>
      <c r="F9" s="31" t="n">
        <v>34.00276778299891</v>
      </c>
    </row>
    <row r="10">
      <c r="A10" s="32" t="inlineStr">
        <is>
          <t>14-ינו</t>
        </is>
      </c>
      <c r="B10" s="33" t="n">
        <v>55</v>
      </c>
      <c r="C10" s="34" t="n">
        <v>238.1833333382965</v>
      </c>
      <c r="D10" s="34" t="n">
        <v>4.3306060606963</v>
      </c>
      <c r="E10" s="33" t="n">
        <v>8064.666666840378</v>
      </c>
      <c r="F10" s="35" t="n">
        <v>33.85907214333075</v>
      </c>
    </row>
    <row r="11">
      <c r="A11" s="28" t="inlineStr">
        <is>
          <t>15-ינו</t>
        </is>
      </c>
      <c r="B11" s="29" t="n">
        <v>53</v>
      </c>
      <c r="C11" s="30" t="n">
        <v>220.9499999937679</v>
      </c>
      <c r="D11" s="30" t="n">
        <v>4.168867924410716</v>
      </c>
      <c r="E11" s="29" t="n">
        <v>7516.999999781877</v>
      </c>
      <c r="F11" s="31" t="n">
        <v>34.0212717809183</v>
      </c>
    </row>
    <row r="12">
      <c r="A12" s="32" t="inlineStr">
        <is>
          <t>19-ינו</t>
        </is>
      </c>
      <c r="B12" s="33" t="n">
        <v>79</v>
      </c>
      <c r="C12" s="34" t="n">
        <v>343.5833333231315</v>
      </c>
      <c r="D12" s="34" t="n">
        <v>4.349156118014323</v>
      </c>
      <c r="E12" s="33" t="n">
        <v>11642.9166663096</v>
      </c>
      <c r="F12" s="35" t="n">
        <v>33.88673296140279</v>
      </c>
    </row>
    <row r="13">
      <c r="A13" s="28" t="inlineStr">
        <is>
          <t>20-ינו</t>
        </is>
      </c>
      <c r="B13" s="29" t="n">
        <v>65</v>
      </c>
      <c r="C13" s="30" t="n">
        <v>278.1833333301125</v>
      </c>
      <c r="D13" s="30" t="n">
        <v>4.279743589694039</v>
      </c>
      <c r="E13" s="29" t="n">
        <v>9471.916666553938</v>
      </c>
      <c r="F13" s="31" t="n">
        <v>34.04918818523853</v>
      </c>
    </row>
    <row r="14">
      <c r="A14" s="32" t="inlineStr">
        <is>
          <t>21-ינו</t>
        </is>
      </c>
      <c r="B14" s="33" t="n">
        <v>65</v>
      </c>
      <c r="C14" s="34" t="n">
        <v>286.5333333418395</v>
      </c>
      <c r="D14" s="34" t="n">
        <v>4.408205128335992</v>
      </c>
      <c r="E14" s="33" t="n">
        <v>9739.91666696438</v>
      </c>
      <c r="F14" s="35" t="n">
        <v>33.99226384367812</v>
      </c>
    </row>
    <row r="15">
      <c r="A15" s="28" t="inlineStr">
        <is>
          <t>22-ינו</t>
        </is>
      </c>
      <c r="B15" s="29" t="n">
        <v>76</v>
      </c>
      <c r="C15" s="30" t="n">
        <v>310.1333333456307</v>
      </c>
      <c r="D15" s="30" t="n">
        <v>4.080701754547772</v>
      </c>
      <c r="E15" s="29" t="n">
        <v>10591.31666709707</v>
      </c>
      <c r="F15" s="31" t="n">
        <v>34.15084909719618</v>
      </c>
    </row>
    <row r="16">
      <c r="A16" s="32" t="inlineStr">
        <is>
          <t>26-ינו</t>
        </is>
      </c>
      <c r="B16" s="33" t="n">
        <v>72</v>
      </c>
      <c r="C16" s="34" t="n">
        <v>290.2499999981956</v>
      </c>
      <c r="D16" s="34" t="n">
        <v>4.031249999974939</v>
      </c>
      <c r="E16" s="33" t="n">
        <v>9848.749999936847</v>
      </c>
      <c r="F16" s="35" t="n">
        <v>33.93195521101834</v>
      </c>
    </row>
    <row r="17">
      <c r="A17" s="28" t="inlineStr">
        <is>
          <t>27-ינו</t>
        </is>
      </c>
      <c r="B17" s="29" t="n">
        <v>104</v>
      </c>
      <c r="C17" s="30" t="n">
        <v>381.0833333333335</v>
      </c>
      <c r="D17" s="30" t="n">
        <v>3.664262820512822</v>
      </c>
      <c r="E17" s="29" t="n">
        <v>13059.41666666667</v>
      </c>
      <c r="F17" s="31" t="n">
        <v>34.26918871637874</v>
      </c>
    </row>
    <row r="18">
      <c r="A18" s="32" t="inlineStr">
        <is>
          <t>28-ינו</t>
        </is>
      </c>
      <c r="B18" s="33" t="n">
        <v>74</v>
      </c>
      <c r="C18" s="34" t="n">
        <v>314.1166666666667</v>
      </c>
      <c r="D18" s="34" t="n">
        <v>4.24481981981982</v>
      </c>
      <c r="E18" s="33" t="n">
        <v>10737.58333333333</v>
      </c>
      <c r="F18" s="35" t="n">
        <v>34.1834244176792</v>
      </c>
    </row>
    <row r="19">
      <c r="A19" s="28" t="inlineStr">
        <is>
          <t>29-ינו</t>
        </is>
      </c>
      <c r="B19" s="29" t="n">
        <v>59</v>
      </c>
      <c r="C19" s="30" t="n">
        <v>218.6666666666667</v>
      </c>
      <c r="D19" s="30" t="n">
        <v>3.706214689265537</v>
      </c>
      <c r="E19" s="29" t="n">
        <v>7484.333333333334</v>
      </c>
      <c r="F19" s="31" t="n">
        <v>34.22713414634146</v>
      </c>
    </row>
    <row r="22" ht="18" customHeight="1">
      <c r="A22" s="13" t="inlineStr">
        <is>
          <t>סיכום חודשי</t>
        </is>
      </c>
    </row>
    <row r="23" ht="32" customHeight="1">
      <c r="A23" s="36" t="inlineStr"/>
      <c r="B23" s="3" t="inlineStr">
        <is>
          <t>ימי עבודה</t>
        </is>
      </c>
      <c r="C23" s="3" t="inlineStr">
        <is>
          <t>ממוצע עובדים/יום</t>
        </is>
      </c>
      <c r="D23" s="3" t="inlineStr">
        <is>
          <t>ממוצע שעות/יום</t>
        </is>
      </c>
      <c r="E23" s="3" t="inlineStr">
        <is>
          <t>שעות/חניך</t>
        </is>
      </c>
      <c r="F23" s="3" t="inlineStr">
        <is>
          <t>הכנסה (₪)</t>
        </is>
      </c>
      <c r="G23" s="3" t="inlineStr">
        <is>
          <t>תעריף ממוצע בפועל (₪/ש)</t>
        </is>
      </c>
    </row>
    <row r="24">
      <c r="A24" s="15" t="inlineStr">
        <is>
          <t>ביצוע</t>
        </is>
      </c>
      <c r="B24" s="16" t="n">
        <v>17</v>
      </c>
      <c r="C24" s="17" t="n">
        <v>70.23529411764706</v>
      </c>
      <c r="D24" s="17" t="n">
        <v>289.38921568872</v>
      </c>
      <c r="E24" s="17" t="n">
        <v>4.133267428495277</v>
      </c>
      <c r="F24" s="16" t="n">
        <v>166841.9833348126</v>
      </c>
      <c r="G24" s="18" t="n">
        <v>33.91361454315263</v>
      </c>
    </row>
    <row r="25">
      <c r="A25" s="19" t="inlineStr">
        <is>
          <t>תקציב</t>
        </is>
      </c>
      <c r="B25" s="20" t="n">
        <v>17</v>
      </c>
      <c r="C25" s="21" t="n">
        <v>79.19999999999999</v>
      </c>
      <c r="D25" s="21" t="n">
        <v>395.9999999999999</v>
      </c>
      <c r="E25" s="21" t="n">
        <v>5</v>
      </c>
      <c r="F25" s="20" t="n">
        <v>235620</v>
      </c>
      <c r="G25" s="22" t="n">
        <v>35</v>
      </c>
    </row>
    <row r="27">
      <c r="A27" s="23" t="inlineStr">
        <is>
          <t>פער</t>
        </is>
      </c>
      <c r="B27" s="24">
        <f>B24-B25</f>
        <v/>
      </c>
      <c r="C27" s="25">
        <f>C24-C25</f>
        <v/>
      </c>
      <c r="D27" s="25">
        <f>D24-D25</f>
        <v/>
      </c>
      <c r="E27" s="25">
        <f>E24-E25</f>
        <v/>
      </c>
      <c r="F27" s="24">
        <f>F24-F25</f>
        <v/>
      </c>
      <c r="G27" s="26">
        <f>G24-G25</f>
        <v/>
      </c>
    </row>
    <row r="28">
      <c r="A28" s="23" t="inlineStr">
        <is>
          <t>% פער</t>
        </is>
      </c>
      <c r="B28" s="27">
        <f>IF(B25=0,"",(B24-B25)/B25)</f>
        <v/>
      </c>
      <c r="C28" s="27">
        <f>IF(C25=0,"",(C24-C25)/C25)</f>
        <v/>
      </c>
      <c r="D28" s="27">
        <f>IF(D25=0,"",(D24-D25)/D25)</f>
        <v/>
      </c>
      <c r="E28" s="27">
        <f>IF(E25=0,"",(E24-E25)/E25)</f>
        <v/>
      </c>
      <c r="F28" s="27">
        <f>IF(F25=0,"",(F24-F25)/F25)</f>
        <v/>
      </c>
      <c r="G28" s="27">
        <f>IF(G25=0,"",(G24-G25)/G25)</f>
        <v/>
      </c>
    </row>
  </sheetData>
  <mergeCells count="2">
    <mergeCell ref="A22:G2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חצבה – פברואר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02-פבר</t>
        </is>
      </c>
      <c r="B3" s="29" t="n">
        <v>82</v>
      </c>
      <c r="C3" s="30" t="n">
        <v>349.7000000273847</v>
      </c>
      <c r="D3" s="30" t="n">
        <v>4.264634146675423</v>
      </c>
      <c r="E3" s="29" t="n">
        <v>12157.75000095951</v>
      </c>
      <c r="F3" s="31" t="n">
        <v>34.76622819561753</v>
      </c>
    </row>
    <row r="4">
      <c r="A4" s="32" t="inlineStr">
        <is>
          <t>03-פבר</t>
        </is>
      </c>
      <c r="B4" s="33" t="n">
        <v>77</v>
      </c>
      <c r="C4" s="34" t="n">
        <v>311.9666666610981</v>
      </c>
      <c r="D4" s="34" t="n">
        <v>4.051515151442833</v>
      </c>
      <c r="E4" s="33" t="n">
        <v>10711.83333313355</v>
      </c>
      <c r="F4" s="35" t="n">
        <v>34.33646757129421</v>
      </c>
    </row>
    <row r="5">
      <c r="A5" s="28" t="inlineStr">
        <is>
          <t>04-פבר</t>
        </is>
      </c>
      <c r="B5" s="29" t="n">
        <v>61</v>
      </c>
      <c r="C5" s="30" t="n">
        <v>248.1833333466629</v>
      </c>
      <c r="D5" s="30" t="n">
        <v>4.068579235191195</v>
      </c>
      <c r="E5" s="29" t="n">
        <v>8484.9166671332</v>
      </c>
      <c r="F5" s="31" t="n">
        <v>34.18810019479211</v>
      </c>
    </row>
    <row r="6">
      <c r="A6" s="32" t="inlineStr">
        <is>
          <t>05-פבר</t>
        </is>
      </c>
      <c r="B6" s="33" t="n">
        <v>67</v>
      </c>
      <c r="C6" s="34" t="n">
        <v>249.5666666688592</v>
      </c>
      <c r="D6" s="34" t="n">
        <v>3.724875621923271</v>
      </c>
      <c r="E6" s="33" t="n">
        <v>8520.583333410072</v>
      </c>
      <c r="F6" s="35" t="n">
        <v>34.14151195406124</v>
      </c>
    </row>
    <row r="7">
      <c r="A7" s="28" t="inlineStr">
        <is>
          <t>09-פבר</t>
        </is>
      </c>
      <c r="B7" s="29" t="n">
        <v>83</v>
      </c>
      <c r="C7" s="30" t="n">
        <v>348.5166666666667</v>
      </c>
      <c r="D7" s="30" t="n">
        <v>4.198995983935743</v>
      </c>
      <c r="E7" s="29" t="n">
        <v>11840.08333333333</v>
      </c>
      <c r="F7" s="31" t="n">
        <v>33.97278944096409</v>
      </c>
    </row>
    <row r="8">
      <c r="A8" s="32" t="inlineStr">
        <is>
          <t>10-פבר</t>
        </is>
      </c>
      <c r="B8" s="33" t="n">
        <v>80</v>
      </c>
      <c r="C8" s="34" t="n">
        <v>338.2499999981179</v>
      </c>
      <c r="D8" s="34" t="n">
        <v>4.228124999976474</v>
      </c>
      <c r="E8" s="33" t="n">
        <v>11506.99999993413</v>
      </c>
      <c r="F8" s="35" t="n">
        <v>34.01921655579646</v>
      </c>
    </row>
    <row r="9">
      <c r="A9" s="28" t="inlineStr">
        <is>
          <t>11-פבר</t>
        </is>
      </c>
      <c r="B9" s="29" t="n">
        <v>74</v>
      </c>
      <c r="C9" s="30" t="n">
        <v>331.999999997827</v>
      </c>
      <c r="D9" s="30" t="n">
        <v>4.486486486457122</v>
      </c>
      <c r="E9" s="29" t="n">
        <v>11325.49999992394</v>
      </c>
      <c r="F9" s="31" t="n">
        <v>34.11295180722311</v>
      </c>
    </row>
    <row r="10">
      <c r="A10" s="32" t="inlineStr">
        <is>
          <t>12-פבר</t>
        </is>
      </c>
      <c r="B10" s="33" t="n">
        <v>69</v>
      </c>
      <c r="C10" s="34" t="n">
        <v>281.0500000017346</v>
      </c>
      <c r="D10" s="34" t="n">
        <v>4.073188405822242</v>
      </c>
      <c r="E10" s="33" t="n">
        <v>9608.000000060712</v>
      </c>
      <c r="F10" s="35" t="n">
        <v>34.18608788472304</v>
      </c>
    </row>
    <row r="11">
      <c r="A11" s="28" t="inlineStr">
        <is>
          <t>16-פבר</t>
        </is>
      </c>
      <c r="B11" s="29" t="n">
        <v>82</v>
      </c>
      <c r="C11" s="30" t="n">
        <v>192.166666666201</v>
      </c>
      <c r="D11" s="30" t="n">
        <v>2.343495934953671</v>
      </c>
      <c r="E11" s="29" t="n">
        <v>6542.083333317035</v>
      </c>
      <c r="F11" s="31" t="n">
        <v>34.04379878577392</v>
      </c>
    </row>
    <row r="12">
      <c r="A12" s="32" t="inlineStr">
        <is>
          <t>17-פבר</t>
        </is>
      </c>
      <c r="B12" s="33" t="n">
        <v>64</v>
      </c>
      <c r="C12" s="34" t="n">
        <v>263.4166666650446</v>
      </c>
      <c r="D12" s="34" t="n">
        <v>4.115885416641322</v>
      </c>
      <c r="E12" s="33" t="n">
        <v>8990.333333276561</v>
      </c>
      <c r="F12" s="35" t="n">
        <v>34.12970578930182</v>
      </c>
    </row>
    <row r="13">
      <c r="A13" s="28" t="inlineStr">
        <is>
          <t>18-פבר</t>
        </is>
      </c>
      <c r="B13" s="29" t="n">
        <v>67</v>
      </c>
      <c r="C13" s="30" t="n">
        <v>279.15</v>
      </c>
      <c r="D13" s="30" t="n">
        <v>4.166417910447761</v>
      </c>
      <c r="E13" s="29" t="n">
        <v>9478.5</v>
      </c>
      <c r="F13" s="31" t="n">
        <v>33.95486297689415</v>
      </c>
    </row>
    <row r="14">
      <c r="A14" s="32" t="inlineStr">
        <is>
          <t>19-פבר</t>
        </is>
      </c>
      <c r="B14" s="33" t="n">
        <v>57</v>
      </c>
      <c r="C14" s="34" t="n">
        <v>214.0000000036089</v>
      </c>
      <c r="D14" s="34" t="n">
        <v>3.754385964975596</v>
      </c>
      <c r="E14" s="33" t="n">
        <v>7261.500000126312</v>
      </c>
      <c r="F14" s="35" t="n">
        <v>33.93224299067221</v>
      </c>
    </row>
    <row r="15">
      <c r="A15" s="28" t="inlineStr">
        <is>
          <t>23-פבר</t>
        </is>
      </c>
      <c r="B15" s="29" t="n">
        <v>90</v>
      </c>
      <c r="C15" s="30" t="n">
        <v>378.3833333345751</v>
      </c>
      <c r="D15" s="30" t="n">
        <v>4.204259259273057</v>
      </c>
      <c r="E15" s="29" t="n">
        <v>12956.41666671013</v>
      </c>
      <c r="F15" s="31" t="n">
        <v>34.24150993261052</v>
      </c>
    </row>
    <row r="16">
      <c r="A16" s="32" t="inlineStr">
        <is>
          <t>24-פבר</t>
        </is>
      </c>
      <c r="B16" s="33" t="n">
        <v>89</v>
      </c>
      <c r="C16" s="34" t="n">
        <v>369.8666666854095</v>
      </c>
      <c r="D16" s="34" t="n">
        <v>4.155805243656287</v>
      </c>
      <c r="E16" s="33" t="n">
        <v>12650.83333393555</v>
      </c>
      <c r="F16" s="35" t="n">
        <v>34.20376712318261</v>
      </c>
    </row>
    <row r="17">
      <c r="A17" s="28" t="inlineStr">
        <is>
          <t>25-פבר</t>
        </is>
      </c>
      <c r="B17" s="29" t="n">
        <v>86</v>
      </c>
      <c r="C17" s="30" t="n">
        <v>375.1666666566356</v>
      </c>
      <c r="D17" s="30" t="n">
        <v>4.362403100658553</v>
      </c>
      <c r="E17" s="29" t="n">
        <v>12851.08333298225</v>
      </c>
      <c r="F17" s="31" t="n">
        <v>34.25433140824305</v>
      </c>
    </row>
    <row r="18">
      <c r="A18" s="32" t="inlineStr">
        <is>
          <t>26-פבר</t>
        </is>
      </c>
      <c r="B18" s="33" t="n">
        <v>76</v>
      </c>
      <c r="C18" s="34" t="n">
        <v>325.2333333234341</v>
      </c>
      <c r="D18" s="34" t="n">
        <v>4.279385964782028</v>
      </c>
      <c r="E18" s="33" t="n">
        <v>11108.16666633201</v>
      </c>
      <c r="F18" s="35" t="n">
        <v>34.15445321308839</v>
      </c>
    </row>
    <row r="21" ht="18" customHeight="1">
      <c r="A21" s="13" t="inlineStr">
        <is>
          <t>סיכום חודשי</t>
        </is>
      </c>
    </row>
    <row r="22" ht="32" customHeight="1">
      <c r="A22" s="36" t="inlineStr"/>
      <c r="B22" s="3" t="inlineStr">
        <is>
          <t>ימי עבודה</t>
        </is>
      </c>
      <c r="C22" s="3" t="inlineStr">
        <is>
          <t>ממוצע עובדים/יום</t>
        </is>
      </c>
      <c r="D22" s="3" t="inlineStr">
        <is>
          <t>ממוצע שעות/יום</t>
        </is>
      </c>
      <c r="E22" s="3" t="inlineStr">
        <is>
          <t>שעות/חניך</t>
        </is>
      </c>
      <c r="F22" s="3" t="inlineStr">
        <is>
          <t>הכנסה (₪)</t>
        </is>
      </c>
      <c r="G22" s="3" t="inlineStr">
        <is>
          <t>תעריף ממוצע בפועל (₪/ש)</t>
        </is>
      </c>
    </row>
    <row r="23">
      <c r="A23" s="15" t="inlineStr">
        <is>
          <t>ביצוע</t>
        </is>
      </c>
      <c r="B23" s="16" t="n">
        <v>16</v>
      </c>
      <c r="C23" s="17" t="n">
        <v>75.25</v>
      </c>
      <c r="D23" s="17" t="n">
        <v>303.5385416689538</v>
      </c>
      <c r="E23" s="17" t="n">
        <v>4.029902426675786</v>
      </c>
      <c r="F23" s="16" t="n">
        <v>165994.5833345683</v>
      </c>
      <c r="G23" s="18" t="n">
        <v>34.17905812345033</v>
      </c>
    </row>
    <row r="24">
      <c r="A24" s="19" t="inlineStr">
        <is>
          <t>תקציב</t>
        </is>
      </c>
      <c r="B24" s="20" t="n">
        <v>16</v>
      </c>
      <c r="C24" s="21" t="n">
        <v>79.19999999999999</v>
      </c>
      <c r="D24" s="21" t="n">
        <v>395.9999999999999</v>
      </c>
      <c r="E24" s="21" t="n">
        <v>5</v>
      </c>
      <c r="F24" s="20" t="n">
        <v>221760</v>
      </c>
      <c r="G24" s="22" t="n">
        <v>35</v>
      </c>
    </row>
    <row r="26">
      <c r="A26" s="23" t="inlineStr">
        <is>
          <t>פער</t>
        </is>
      </c>
      <c r="B26" s="24">
        <f>B23-B24</f>
        <v/>
      </c>
      <c r="C26" s="25">
        <f>C23-C24</f>
        <v/>
      </c>
      <c r="D26" s="25">
        <f>D23-D24</f>
        <v/>
      </c>
      <c r="E26" s="25">
        <f>E23-E24</f>
        <v/>
      </c>
      <c r="F26" s="24">
        <f>F23-F24</f>
        <v/>
      </c>
      <c r="G26" s="26">
        <f>G23-G24</f>
        <v/>
      </c>
    </row>
    <row r="27">
      <c r="A27" s="23" t="inlineStr">
        <is>
          <t>% פער</t>
        </is>
      </c>
      <c r="B27" s="27">
        <f>IF(B24=0,"",(B23-B24)/B24)</f>
        <v/>
      </c>
      <c r="C27" s="27">
        <f>IF(C24=0,"",(C23-C24)/C24)</f>
        <v/>
      </c>
      <c r="D27" s="27">
        <f>IF(D24=0,"",(D23-D24)/D24)</f>
        <v/>
      </c>
      <c r="E27" s="27">
        <f>IF(E24=0,"",(E23-E24)/E24)</f>
        <v/>
      </c>
      <c r="F27" s="27">
        <f>IF(F24=0,"",(F23-F24)/F24)</f>
        <v/>
      </c>
      <c r="G27" s="27">
        <f>IF(G24=0,"",(G23-G24)/G24)</f>
        <v/>
      </c>
    </row>
  </sheetData>
  <mergeCells count="2">
    <mergeCell ref="A21:G21"/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90D4CE8D-82F4-4FE1-9D3E-20A843B61A92}"/>
</file>

<file path=customXml/itemProps2.xml><?xml version="1.0" encoding="utf-8"?>
<ds:datastoreItem xmlns:ds="http://schemas.openxmlformats.org/officeDocument/2006/customXml" ds:itemID="{F8463AC0-6DD2-4BE7-8651-089F96A95B48}"/>
</file>

<file path=customXml/itemProps3.xml><?xml version="1.0" encoding="utf-8"?>
<ds:datastoreItem xmlns:ds="http://schemas.openxmlformats.org/officeDocument/2006/customXml" ds:itemID="{6D4583DE-848D-49B4-B18F-93E396DA60E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2026-03-31T12:00:53Z</dcterms:created>
  <dcterms:modified xsi:type="dcterms:W3CDTF">2026-03-31T12:00:54Z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0x010100C51B2DF52839A24880F5A44990A2903E</vt:lpwstr>
  </property>
</Properties>
</file>