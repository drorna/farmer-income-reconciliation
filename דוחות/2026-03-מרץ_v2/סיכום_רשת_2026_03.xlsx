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תצוגת על" sheetId="1" state="visible" r:id="rId1"/>
    <sheet name="הכנסה (₪)" sheetId="2" state="visible" r:id="rId2"/>
    <sheet name="ימי עבודה" sheetId="3" state="visible" r:id="rId3"/>
    <sheet name="ממוצע עובדים-יום" sheetId="4" state="visible" r:id="rId4"/>
    <sheet name="שעות-חניך" sheetId="5" state="visible" r:id="rId5"/>
    <sheet name="תעריף ממוצע בפועל (₪-ש)" sheetId="6" state="visible" r:id="rId6"/>
    <sheet name="הכנסה שאינה שעתית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3"/>
    </font>
    <font>
      <name val="Arial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4B5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BF8F00"/>
      </patternFill>
    </fill>
    <fill>
      <patternFill patternType="solid">
        <fgColor rgb="00FFF2CC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3" fontId="4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5" fontId="2" fillId="2" borderId="1" applyAlignment="1" pivotButton="0" quotePrefix="0" xfId="0">
      <alignment horizontal="center" vertical="center"/>
    </xf>
    <xf numFmtId="4" fontId="2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Arial"/>
        <b val="1"/>
        <color rgb="00375623"/>
      </font>
      <fill>
        <patternFill patternType="solid">
          <fgColor rgb="00C6EFCE"/>
          <bgColor rgb="00C6EFCE"/>
        </patternFill>
      </fill>
    </dxf>
    <dxf>
      <font>
        <name val="Arial"/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/xl/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Q11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9" customWidth="1" min="4" max="4"/>
    <col width="13" customWidth="1" min="5" max="5"/>
    <col width="13" customWidth="1" min="6" max="6"/>
    <col width="9" customWidth="1" min="7" max="7"/>
    <col width="13" customWidth="1" min="8" max="8"/>
    <col width="13" customWidth="1" min="9" max="9"/>
    <col width="9" customWidth="1" min="10" max="10"/>
    <col width="13" customWidth="1" min="11" max="11"/>
    <col width="13" customWidth="1" min="12" max="12"/>
    <col width="9" customWidth="1" min="13" max="13"/>
    <col width="13" customWidth="1" min="14" max="14"/>
    <col width="13" customWidth="1" min="15" max="15"/>
    <col width="9" customWidth="1" min="16" max="16"/>
    <col width="18" customWidth="1" min="17" max="17"/>
  </cols>
  <sheetData>
    <row r="1" ht="32" customHeight="1">
      <c r="A1" s="1" t="inlineStr">
        <is>
          <t>תצוגת על – כלל הרשת 2026   (YTD ינואר–מרץ)</t>
        </is>
      </c>
    </row>
    <row r="2" ht="38" customHeight="1">
      <c r="A2" s="2" t="inlineStr">
        <is>
          <t>בית ספר</t>
        </is>
      </c>
      <c r="B2" s="3" t="inlineStr">
        <is>
          <t>הכנסה (₪)</t>
        </is>
      </c>
      <c r="E2" s="3" t="inlineStr">
        <is>
          <t>ימי עבודה</t>
        </is>
      </c>
      <c r="H2" s="3" t="inlineStr">
        <is>
          <t>ממוצע עובדים/יום</t>
        </is>
      </c>
      <c r="K2" s="3" t="inlineStr">
        <is>
          <t>שעות/חניך</t>
        </is>
      </c>
      <c r="N2" s="3" t="inlineStr">
        <is>
          <t>תעריף ממוצע בפועל (₪/ש)</t>
        </is>
      </c>
      <c r="Q2" s="4" t="inlineStr">
        <is>
          <t>הכנסה לא שעתית (YTD)</t>
        </is>
      </c>
    </row>
    <row r="3" ht="18" customHeight="1">
      <c r="B3" s="5" t="inlineStr">
        <is>
          <t>ביצוע</t>
        </is>
      </c>
      <c r="C3" s="6" t="inlineStr">
        <is>
          <t>תקציב</t>
        </is>
      </c>
      <c r="D3" s="7" t="inlineStr">
        <is>
          <t>% פער</t>
        </is>
      </c>
      <c r="E3" s="5" t="inlineStr">
        <is>
          <t>ביצוע</t>
        </is>
      </c>
      <c r="F3" s="6" t="inlineStr">
        <is>
          <t>תקציב</t>
        </is>
      </c>
      <c r="G3" s="7" t="inlineStr">
        <is>
          <t>% פער</t>
        </is>
      </c>
      <c r="H3" s="5" t="inlineStr">
        <is>
          <t>ביצוע</t>
        </is>
      </c>
      <c r="I3" s="6" t="inlineStr">
        <is>
          <t>תקציב</t>
        </is>
      </c>
      <c r="J3" s="7" t="inlineStr">
        <is>
          <t>% פער</t>
        </is>
      </c>
      <c r="K3" s="5" t="inlineStr">
        <is>
          <t>ביצוע</t>
        </is>
      </c>
      <c r="L3" s="6" t="inlineStr">
        <is>
          <t>תקציב</t>
        </is>
      </c>
      <c r="M3" s="7" t="inlineStr">
        <is>
          <t>% פער</t>
        </is>
      </c>
      <c r="N3" s="5" t="inlineStr">
        <is>
          <t>ביצוע</t>
        </is>
      </c>
      <c r="O3" s="6" t="inlineStr">
        <is>
          <t>תקציב</t>
        </is>
      </c>
      <c r="P3" s="7" t="inlineStr">
        <is>
          <t>% פער</t>
        </is>
      </c>
    </row>
    <row r="4">
      <c r="A4" s="8" t="inlineStr">
        <is>
          <t>אשכול</t>
        </is>
      </c>
      <c r="B4" s="9" t="n">
        <v>124028.5333347515</v>
      </c>
      <c r="C4" s="10" t="n">
        <v>240165</v>
      </c>
      <c r="D4" s="11">
        <f>IF(C4=0,"",(B4-C4)/C4)</f>
        <v/>
      </c>
      <c r="E4" s="9" t="n">
        <v>36</v>
      </c>
      <c r="F4" s="10" t="n">
        <v>39</v>
      </c>
      <c r="G4" s="11">
        <f>IF(F4=0,"",(E4-F4)/F4)</f>
        <v/>
      </c>
      <c r="H4" s="12" t="n">
        <v>25.61111111111111</v>
      </c>
      <c r="I4" s="13" t="n">
        <v>40.5</v>
      </c>
      <c r="J4" s="11">
        <f>IF(I4=0,"",(H4-I4)/I4)</f>
        <v/>
      </c>
      <c r="K4" s="12" t="n">
        <v>4.732956076922116</v>
      </c>
      <c r="L4" s="13" t="n">
        <v>5</v>
      </c>
      <c r="M4" s="11">
        <f>IF(L4=0,"",(K4-L4)/L4)</f>
        <v/>
      </c>
      <c r="N4" s="14" t="n">
        <v>30.12265856425436</v>
      </c>
      <c r="O4" s="15" t="n">
        <v>30.41025641025641</v>
      </c>
      <c r="P4" s="11">
        <f>IF(O4=0,"",(N4-O4)/O4)</f>
        <v/>
      </c>
      <c r="Q4" s="16" t="n"/>
    </row>
    <row r="5">
      <c r="A5" s="17" t="inlineStr">
        <is>
          <t>גולן</t>
        </is>
      </c>
      <c r="B5" s="9" t="n">
        <v>125709.999996532</v>
      </c>
      <c r="C5" s="10" t="n">
        <v>327015</v>
      </c>
      <c r="D5" s="11">
        <f>IF(C5=0,"",(B5-C5)/C5)</f>
        <v/>
      </c>
      <c r="E5" s="9" t="n">
        <v>16</v>
      </c>
      <c r="F5" s="10" t="n">
        <v>35</v>
      </c>
      <c r="G5" s="11">
        <f>IF(F5=0,"",(E5-F5)/F5)</f>
        <v/>
      </c>
      <c r="H5" s="12" t="n">
        <v>44.8125</v>
      </c>
      <c r="I5" s="13" t="n">
        <v>51.6</v>
      </c>
      <c r="J5" s="11">
        <f>IF(I5=0,"",(H5-I5)/I5)</f>
        <v/>
      </c>
      <c r="K5" s="12" t="n">
        <v>4.492744617359431</v>
      </c>
      <c r="L5" s="13" t="n">
        <v>4.642857142857143</v>
      </c>
      <c r="M5" s="11">
        <f>IF(L5=0,"",(K5-L5)/L5)</f>
        <v/>
      </c>
      <c r="N5" s="14" t="n">
        <v>39</v>
      </c>
      <c r="O5" s="15" t="n">
        <v>39</v>
      </c>
      <c r="P5" s="11">
        <f>IF(O5=0,"",(N5-O5)/O5)</f>
        <v/>
      </c>
      <c r="Q5" s="16" t="n"/>
    </row>
    <row r="6">
      <c r="A6" s="8" t="inlineStr">
        <is>
          <t>גליל עליון</t>
        </is>
      </c>
      <c r="B6" s="9" t="n">
        <v>62855.83333611081</v>
      </c>
      <c r="C6" s="10" t="n">
        <v>134596</v>
      </c>
      <c r="D6" s="11">
        <f>IF(C6=0,"",(B6-C6)/C6)</f>
        <v/>
      </c>
      <c r="E6" s="9" t="n">
        <v>23</v>
      </c>
      <c r="F6" s="10" t="n">
        <v>43</v>
      </c>
      <c r="G6" s="11">
        <f>IF(F6=0,"",(E6-F6)/F6)</f>
        <v/>
      </c>
      <c r="H6" s="12" t="n">
        <v>17.73913043478261</v>
      </c>
      <c r="I6" s="13" t="n">
        <v>17.6</v>
      </c>
      <c r="J6" s="11">
        <f>IF(I6=0,"",(H6-I6)/I6)</f>
        <v/>
      </c>
      <c r="K6" s="12" t="n">
        <v>4.470864978766612</v>
      </c>
      <c r="L6" s="13" t="n">
        <v>5.081395348837209</v>
      </c>
      <c r="M6" s="11">
        <f>IF(L6=0,"",(K6-L6)/L6)</f>
        <v/>
      </c>
      <c r="N6" s="14" t="n">
        <v>34.42426178622497</v>
      </c>
      <c r="O6" s="15" t="n">
        <v>35</v>
      </c>
      <c r="P6" s="11">
        <f>IF(O6=0,"",(N6-O6)/O6)</f>
        <v/>
      </c>
      <c r="Q6" s="16" t="n"/>
    </row>
    <row r="7">
      <c r="A7" s="17" t="inlineStr">
        <is>
          <t>חצבה</t>
        </is>
      </c>
      <c r="B7" s="9" t="n">
        <v>349404.5666693809</v>
      </c>
      <c r="C7" s="10" t="n">
        <v>568259.9999999999</v>
      </c>
      <c r="D7" s="11">
        <f>IF(C7=0,"",(B7-C7)/C7)</f>
        <v/>
      </c>
      <c r="E7" s="9" t="n">
        <v>41</v>
      </c>
      <c r="F7" s="10" t="n">
        <v>41</v>
      </c>
      <c r="G7" s="11">
        <f>IF(F7=0,"",(E7-F7)/F7)</f>
        <v/>
      </c>
      <c r="H7" s="12" t="n">
        <v>61.17073170731707</v>
      </c>
      <c r="I7" s="13" t="n">
        <v>79.19999999999999</v>
      </c>
      <c r="J7" s="11">
        <f>IF(I7=0,"",(H7-I7)/I7)</f>
        <v/>
      </c>
      <c r="K7" s="12" t="n">
        <v>4.203790465948933</v>
      </c>
      <c r="L7" s="13" t="n">
        <v>5</v>
      </c>
      <c r="M7" s="11">
        <f>IF(L7=0,"",(K7-L7)/L7)</f>
        <v/>
      </c>
      <c r="N7" s="14" t="n">
        <v>33.94260077489223</v>
      </c>
      <c r="O7" s="15" t="n">
        <v>35</v>
      </c>
      <c r="P7" s="11">
        <f>IF(O7=0,"",(N7-O7)/O7)</f>
        <v/>
      </c>
      <c r="Q7" s="16" t="n"/>
    </row>
    <row r="8">
      <c r="A8" s="8" t="inlineStr">
        <is>
          <t>ניצנה</t>
        </is>
      </c>
      <c r="B8" s="9" t="n">
        <v>146806.9999923781</v>
      </c>
      <c r="C8" s="10" t="n">
        <v>190878.1875</v>
      </c>
      <c r="D8" s="11">
        <f>IF(C8=0,"",(B8-C8)/C8)</f>
        <v/>
      </c>
      <c r="E8" s="9" t="n">
        <v>45</v>
      </c>
      <c r="F8" s="10" t="n">
        <v>39</v>
      </c>
      <c r="G8" s="11">
        <f>IF(F8=0,"",(E8-F8)/F8)</f>
        <v/>
      </c>
      <c r="H8" s="12" t="n">
        <v>20.84444444444444</v>
      </c>
      <c r="I8" s="13" t="n">
        <v>28.25</v>
      </c>
      <c r="J8" s="11">
        <f>IF(I8=0,"",(H8-I8)/I8)</f>
        <v/>
      </c>
      <c r="K8" s="12" t="n">
        <v>4.569937645908996</v>
      </c>
      <c r="L8" s="13" t="n">
        <v>5.25</v>
      </c>
      <c r="M8" s="11">
        <f>IF(L8=0,"",(K8-L8)/L8)</f>
        <v/>
      </c>
      <c r="N8" s="14" t="n">
        <v>34.56019014605386</v>
      </c>
      <c r="O8" s="15" t="n">
        <v>33</v>
      </c>
      <c r="P8" s="11">
        <f>IF(O8=0,"",(N8-O8)/O8)</f>
        <v/>
      </c>
      <c r="Q8" s="16" t="n"/>
    </row>
    <row r="9">
      <c r="A9" s="17" t="inlineStr">
        <is>
          <t>ניצנים</t>
        </is>
      </c>
      <c r="B9" s="9" t="n">
        <v>235698.800000254</v>
      </c>
      <c r="C9" s="10" t="n">
        <v>411783.75</v>
      </c>
      <c r="D9" s="11">
        <f>IF(C9=0,"",(B9-C9)/C9)</f>
        <v/>
      </c>
      <c r="E9" s="9" t="n">
        <v>38</v>
      </c>
      <c r="F9" s="10" t="n">
        <v>37</v>
      </c>
      <c r="G9" s="11">
        <f>IF(F9=0,"",(E9-F9)/F9)</f>
        <v/>
      </c>
      <c r="H9" s="12" t="n">
        <v>38.31578947368421</v>
      </c>
      <c r="I9" s="13" t="n">
        <v>62.25</v>
      </c>
      <c r="J9" s="11">
        <f>IF(I9=0,"",(H9-I9)/I9)</f>
        <v/>
      </c>
      <c r="K9" s="12" t="n">
        <v>4.503692797870432</v>
      </c>
      <c r="L9" s="13" t="n">
        <v>4.966216216216216</v>
      </c>
      <c r="M9" s="11">
        <f>IF(L9=0,"",(K9-L9)/L9)</f>
        <v/>
      </c>
      <c r="N9" s="14" t="n">
        <v>36.37813699363043</v>
      </c>
      <c r="O9" s="15" t="n">
        <v>36</v>
      </c>
      <c r="P9" s="11">
        <f>IF(O9=0,"",(N9-O9)/O9)</f>
        <v/>
      </c>
      <c r="Q9" s="16" t="n"/>
    </row>
    <row r="10">
      <c r="A10" s="8" t="inlineStr">
        <is>
          <t>תבור</t>
        </is>
      </c>
      <c r="B10" s="9" t="n">
        <v>157023.8333440541</v>
      </c>
      <c r="C10" s="10" t="n">
        <v>190878.1875</v>
      </c>
      <c r="D10" s="11">
        <f>IF(C10=0,"",(B10-C10)/C10)</f>
        <v/>
      </c>
      <c r="E10" s="9" t="n">
        <v>32</v>
      </c>
      <c r="F10" s="10" t="n">
        <v>39</v>
      </c>
      <c r="G10" s="11">
        <f>IF(F10=0,"",(E10-F10)/F10)</f>
        <v/>
      </c>
      <c r="H10" s="12" t="n">
        <v>33.78125</v>
      </c>
      <c r="I10" s="13" t="n">
        <v>28.25</v>
      </c>
      <c r="J10" s="11">
        <f>IF(I10=0,"",(H10-I10)/I10)</f>
        <v/>
      </c>
      <c r="K10" s="12" t="n">
        <v>4.466068225701834</v>
      </c>
      <c r="L10" s="13" t="n">
        <v>5.25</v>
      </c>
      <c r="M10" s="11">
        <f>IF(L10=0,"",(K10-L10)/L10)</f>
        <v/>
      </c>
      <c r="N10" s="14" t="n">
        <v>35</v>
      </c>
      <c r="O10" s="15" t="n">
        <v>33</v>
      </c>
      <c r="P10" s="11">
        <f>IF(O10=0,"",(N10-O10)/O10)</f>
        <v/>
      </c>
      <c r="Q10" s="16" t="n">
        <v>43460</v>
      </c>
    </row>
    <row r="11" ht="22" customHeight="1">
      <c r="A11" s="18" t="inlineStr">
        <is>
          <t>סה"כ רשת</t>
        </is>
      </c>
      <c r="B11" s="19">
        <f>SUM(B4:B10)</f>
        <v/>
      </c>
      <c r="C11" s="19">
        <f>SUM(C4:C10)</f>
        <v/>
      </c>
      <c r="D11" s="20">
        <f>IF(C11=0,"",(B11-C11)/C11)</f>
        <v/>
      </c>
      <c r="E11" s="19">
        <f>SUM(E4:E10)</f>
        <v/>
      </c>
      <c r="F11" s="19">
        <f>SUM(F4:F10)</f>
        <v/>
      </c>
      <c r="G11" s="20">
        <f>IF(F11=0,"",(E11-F11)/F11)</f>
        <v/>
      </c>
      <c r="H11" s="21" t="n">
        <v>34.76190476190476</v>
      </c>
      <c r="I11" s="21" t="n">
        <v>43.57600732600733</v>
      </c>
      <c r="J11" s="20">
        <f>IF(I11=0,"",(H11-I11)/I11)</f>
        <v/>
      </c>
      <c r="K11" s="21" t="n">
        <v>4.489858614155521</v>
      </c>
      <c r="L11" s="21" t="n">
        <v>5.033882783882784</v>
      </c>
      <c r="M11" s="20">
        <f>IF(L11=0,"",(K11-L11)/L11)</f>
        <v/>
      </c>
      <c r="N11" s="22" t="n">
        <v>34.41297888959867</v>
      </c>
      <c r="O11" s="22" t="n">
        <v>34.42124542124542</v>
      </c>
      <c r="P11" s="20">
        <f>IF(O11=0,"",(N11-O11)/O11)</f>
        <v/>
      </c>
      <c r="Q11" s="19">
        <f>SUM(Q4:Q10)</f>
        <v/>
      </c>
    </row>
  </sheetData>
  <mergeCells count="8">
    <mergeCell ref="E2:G2"/>
    <mergeCell ref="K2:M2"/>
    <mergeCell ref="N2:P2"/>
    <mergeCell ref="A2:A3"/>
    <mergeCell ref="Q2:Q3"/>
    <mergeCell ref="H2:J2"/>
    <mergeCell ref="A1:Q1"/>
    <mergeCell ref="B2:D2"/>
  </mergeCells>
  <conditionalFormatting sqref="D4:D1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G4:G1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J4:J1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M4:M10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P4:P10">
    <cfRule type="cellIs" priority="9" operator="greaterThan" dxfId="0">
      <formula>0</formula>
    </cfRule>
    <cfRule type="cellIs" priority="10" operator="less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M11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9" customWidth="1" min="4" max="4"/>
    <col width="15" customWidth="1" min="5" max="5"/>
    <col width="15" customWidth="1" min="6" max="6"/>
    <col width="9" customWidth="1" min="7" max="7"/>
    <col width="15" customWidth="1" min="8" max="8"/>
    <col width="15" customWidth="1" min="9" max="9"/>
    <col width="9" customWidth="1" min="10" max="10"/>
    <col width="15" customWidth="1" min="11" max="11"/>
    <col width="15" customWidth="1" min="12" max="12"/>
    <col width="9" customWidth="1" min="13" max="13"/>
  </cols>
  <sheetData>
    <row r="1" ht="30" customHeight="1">
      <c r="A1" s="23" t="inlineStr">
        <is>
          <t>הכנסה (₪)  –  כלל הרשת 2026  (עד מרץ)</t>
        </is>
      </c>
    </row>
    <row r="2" ht="22" customHeight="1">
      <c r="A2" s="2" t="inlineStr">
        <is>
          <t>בית ספר</t>
        </is>
      </c>
      <c r="B2" s="24" t="inlineStr">
        <is>
          <t>ינואר</t>
        </is>
      </c>
      <c r="E2" s="24" t="inlineStr">
        <is>
          <t>פברואר</t>
        </is>
      </c>
      <c r="H2" s="24" t="inlineStr">
        <is>
          <t>מרץ</t>
        </is>
      </c>
      <c r="K2" s="2" t="inlineStr">
        <is>
          <t>מינואר עד כה</t>
        </is>
      </c>
    </row>
    <row r="3" ht="16" customHeight="1">
      <c r="B3" s="5" t="inlineStr">
        <is>
          <t>ביצוע</t>
        </is>
      </c>
      <c r="C3" s="6" t="inlineStr">
        <is>
          <t>תקציב</t>
        </is>
      </c>
      <c r="D3" s="7" t="inlineStr">
        <is>
          <t>% פער</t>
        </is>
      </c>
      <c r="E3" s="5" t="inlineStr">
        <is>
          <t>ביצוע</t>
        </is>
      </c>
      <c r="F3" s="6" t="inlineStr">
        <is>
          <t>תקציב</t>
        </is>
      </c>
      <c r="G3" s="7" t="inlineStr">
        <is>
          <t>% פער</t>
        </is>
      </c>
      <c r="H3" s="5" t="inlineStr">
        <is>
          <t>ביצוע</t>
        </is>
      </c>
      <c r="I3" s="6" t="inlineStr">
        <is>
          <t>תקציב</t>
        </is>
      </c>
      <c r="J3" s="7" t="inlineStr">
        <is>
          <t>% פער</t>
        </is>
      </c>
      <c r="K3" s="5" t="inlineStr">
        <is>
          <t>ביצוע</t>
        </is>
      </c>
      <c r="L3" s="6" t="inlineStr">
        <is>
          <t>תקציב</t>
        </is>
      </c>
      <c r="M3" s="7" t="inlineStr">
        <is>
          <t>% פער</t>
        </is>
      </c>
    </row>
    <row r="4">
      <c r="A4" s="8" t="inlineStr">
        <is>
          <t>אשכול</t>
        </is>
      </c>
      <c r="B4" s="9" t="n">
        <v>51185.53333423532</v>
      </c>
      <c r="C4" s="10" t="n">
        <v>103275</v>
      </c>
      <c r="D4" s="11">
        <f>IF(C4=0,"",(B4-C4)/C4)</f>
        <v/>
      </c>
      <c r="E4" s="9" t="n">
        <v>56625.5000009638</v>
      </c>
      <c r="F4" s="10" t="n">
        <v>85050</v>
      </c>
      <c r="G4" s="11">
        <f>IF(F4=0,"",(E4-F4)/F4)</f>
        <v/>
      </c>
      <c r="H4" s="9" t="n">
        <v>16217.49999955238</v>
      </c>
      <c r="I4" s="10" t="n">
        <v>51840</v>
      </c>
      <c r="J4" s="11">
        <f>IF(I4=0,"",(H4-I4)/I4)</f>
        <v/>
      </c>
      <c r="K4" s="9" t="n">
        <v>124028.5333347515</v>
      </c>
      <c r="L4" s="10" t="n">
        <v>240165</v>
      </c>
      <c r="M4" s="11">
        <f>IF(L4=0,"",(K4-L4)/L4)</f>
        <v/>
      </c>
    </row>
    <row r="5">
      <c r="A5" s="17" t="inlineStr">
        <is>
          <t>גולן</t>
        </is>
      </c>
      <c r="B5" s="9" t="n">
        <v>125709.999996532</v>
      </c>
      <c r="C5" s="10" t="n">
        <v>117725.4</v>
      </c>
      <c r="D5" s="11">
        <f>IF(C5=0,"",(B5-C5)/C5)</f>
        <v/>
      </c>
      <c r="E5" s="9" t="n"/>
      <c r="F5" s="10" t="n">
        <v>108669.6</v>
      </c>
      <c r="G5" s="11">
        <f>IF(F5=0,"",(E5-F5)/F5)</f>
        <v/>
      </c>
      <c r="H5" s="9" t="n"/>
      <c r="I5" s="10" t="n">
        <v>100620</v>
      </c>
      <c r="J5" s="11">
        <f>IF(I5=0,"",(H5-I5)/I5)</f>
        <v/>
      </c>
      <c r="K5" s="9" t="n">
        <v>125709.999996532</v>
      </c>
      <c r="L5" s="10" t="n">
        <v>327015</v>
      </c>
      <c r="M5" s="11">
        <f>IF(L5=0,"",(K5-L5)/L5)</f>
        <v/>
      </c>
    </row>
    <row r="6">
      <c r="A6" s="8" t="inlineStr">
        <is>
          <t>גליל עליון</t>
        </is>
      </c>
      <c r="B6" s="9" t="n">
        <v>28907.08333447081</v>
      </c>
      <c r="C6" s="10" t="n">
        <v>40040</v>
      </c>
      <c r="D6" s="11">
        <f>IF(C6=0,"",(B6-C6)/C6)</f>
        <v/>
      </c>
      <c r="E6" s="9" t="n">
        <v>33948.75000164</v>
      </c>
      <c r="F6" s="10" t="n">
        <v>49280</v>
      </c>
      <c r="G6" s="11">
        <f>IF(F6=0,"",(E6-F6)/F6)</f>
        <v/>
      </c>
      <c r="H6" s="9" t="n"/>
      <c r="I6" s="10" t="n">
        <v>45276.00000000001</v>
      </c>
      <c r="J6" s="11">
        <f>IF(I6=0,"",(H6-I6)/I6)</f>
        <v/>
      </c>
      <c r="K6" s="9" t="n">
        <v>62855.83333611081</v>
      </c>
      <c r="L6" s="10" t="n">
        <v>134596</v>
      </c>
      <c r="M6" s="11">
        <f>IF(L6=0,"",(K6-L6)/L6)</f>
        <v/>
      </c>
    </row>
    <row r="7">
      <c r="A7" s="17" t="inlineStr">
        <is>
          <t>חצבה</t>
        </is>
      </c>
      <c r="B7" s="9" t="n">
        <v>166841.9833348126</v>
      </c>
      <c r="C7" s="10" t="n">
        <v>235620</v>
      </c>
      <c r="D7" s="11">
        <f>IF(C7=0,"",(B7-C7)/C7)</f>
        <v/>
      </c>
      <c r="E7" s="9" t="n">
        <v>165994.5833345683</v>
      </c>
      <c r="F7" s="10" t="n">
        <v>221760</v>
      </c>
      <c r="G7" s="11">
        <f>IF(F7=0,"",(E7-F7)/F7)</f>
        <v/>
      </c>
      <c r="H7" s="9" t="n">
        <v>16568</v>
      </c>
      <c r="I7" s="10" t="n">
        <v>110880</v>
      </c>
      <c r="J7" s="11">
        <f>IF(I7=0,"",(H7-I7)/I7)</f>
        <v/>
      </c>
      <c r="K7" s="9" t="n">
        <v>349404.5666693809</v>
      </c>
      <c r="L7" s="10" t="n">
        <v>568259.9999999999</v>
      </c>
      <c r="M7" s="11">
        <f>IF(L7=0,"",(K7-L7)/L7)</f>
        <v/>
      </c>
    </row>
    <row r="8">
      <c r="A8" s="8" t="inlineStr">
        <is>
          <t>ניצנה</t>
        </is>
      </c>
      <c r="B8" s="9" t="n">
        <v>63190.499998099</v>
      </c>
      <c r="C8" s="10" t="n">
        <v>83203.3125</v>
      </c>
      <c r="D8" s="11">
        <f>IF(C8=0,"",(B8-C8)/C8)</f>
        <v/>
      </c>
      <c r="E8" s="9" t="n">
        <v>78006.49999415036</v>
      </c>
      <c r="F8" s="10" t="n">
        <v>78309</v>
      </c>
      <c r="G8" s="11">
        <f>IF(F8=0,"",(E8-F8)/F8)</f>
        <v/>
      </c>
      <c r="H8" s="9" t="n">
        <v>5610.000000128697</v>
      </c>
      <c r="I8" s="10" t="n">
        <v>29365.875</v>
      </c>
      <c r="J8" s="11">
        <f>IF(I8=0,"",(H8-I8)/I8)</f>
        <v/>
      </c>
      <c r="K8" s="9" t="n">
        <v>146806.9999923781</v>
      </c>
      <c r="L8" s="10" t="n">
        <v>190878.1875</v>
      </c>
      <c r="M8" s="11">
        <f>IF(L8=0,"",(K8-L8)/L8)</f>
        <v/>
      </c>
    </row>
    <row r="9">
      <c r="A9" s="17" t="inlineStr">
        <is>
          <t>ניצנים</t>
        </is>
      </c>
      <c r="B9" s="9" t="n">
        <v>90899.59999901653</v>
      </c>
      <c r="C9" s="10" t="n">
        <v>149026.5</v>
      </c>
      <c r="D9" s="11">
        <f>IF(C9=0,"",(B9-C9)/C9)</f>
        <v/>
      </c>
      <c r="E9" s="9" t="n">
        <v>132819.0000006615</v>
      </c>
      <c r="F9" s="10" t="n">
        <v>156870</v>
      </c>
      <c r="G9" s="11">
        <f>IF(F9=0,"",(E9-F9)/F9)</f>
        <v/>
      </c>
      <c r="H9" s="9" t="n">
        <v>11980.20000057598</v>
      </c>
      <c r="I9" s="10" t="n">
        <v>105887.25</v>
      </c>
      <c r="J9" s="11">
        <f>IF(I9=0,"",(H9-I9)/I9)</f>
        <v/>
      </c>
      <c r="K9" s="9" t="n">
        <v>235698.800000254</v>
      </c>
      <c r="L9" s="10" t="n">
        <v>411783.75</v>
      </c>
      <c r="M9" s="11">
        <f>IF(L9=0,"",(K9-L9)/L9)</f>
        <v/>
      </c>
    </row>
    <row r="10">
      <c r="A10" s="8" t="inlineStr">
        <is>
          <t>תבור</t>
        </is>
      </c>
      <c r="B10" s="9" t="n">
        <v>50740.50000340631</v>
      </c>
      <c r="C10" s="10" t="n">
        <v>83203.3125</v>
      </c>
      <c r="D10" s="11">
        <f>IF(C10=0,"",(B10-C10)/C10)</f>
        <v/>
      </c>
      <c r="E10" s="9" t="n">
        <v>106283.3333406478</v>
      </c>
      <c r="F10" s="10" t="n">
        <v>78309</v>
      </c>
      <c r="G10" s="11">
        <f>IF(F10=0,"",(E10-F10)/F10)</f>
        <v/>
      </c>
      <c r="H10" s="9" t="n"/>
      <c r="I10" s="10" t="n">
        <v>29365.875</v>
      </c>
      <c r="J10" s="11">
        <f>IF(I10=0,"",(H10-I10)/I10)</f>
        <v/>
      </c>
      <c r="K10" s="9" t="n">
        <v>157023.8333440541</v>
      </c>
      <c r="L10" s="10" t="n">
        <v>190878.1875</v>
      </c>
      <c r="M10" s="11">
        <f>IF(L10=0,"",(K10-L10)/L10)</f>
        <v/>
      </c>
    </row>
    <row r="11" ht="20" customHeight="1">
      <c r="A11" s="18" t="inlineStr">
        <is>
          <t>סה"כ רשת</t>
        </is>
      </c>
      <c r="B11" s="19">
        <f>SUM(B4:B10)</f>
        <v/>
      </c>
      <c r="C11" s="19">
        <f>SUM(C4:C10)</f>
        <v/>
      </c>
      <c r="D11" s="20">
        <f>IF(C11=0,"",(B11-C11)/C11)</f>
        <v/>
      </c>
      <c r="E11" s="19">
        <f>SUM(E4:E10)</f>
        <v/>
      </c>
      <c r="F11" s="19">
        <f>SUM(F4:F10)</f>
        <v/>
      </c>
      <c r="G11" s="20">
        <f>IF(F11=0,"",(E11-F11)/F11)</f>
        <v/>
      </c>
      <c r="H11" s="19">
        <f>SUM(H4:H10)</f>
        <v/>
      </c>
      <c r="I11" s="19">
        <f>SUM(I4:I10)</f>
        <v/>
      </c>
      <c r="J11" s="20">
        <f>IF(I11=0,"",(H11-I11)/I11)</f>
        <v/>
      </c>
      <c r="K11" s="19">
        <f>SUM(K4:K10)</f>
        <v/>
      </c>
      <c r="L11" s="19">
        <f>SUM(L4:L10)</f>
        <v/>
      </c>
      <c r="M11" s="20">
        <f>IF(L11=0,"",(K11-L11)/L11)</f>
        <v/>
      </c>
    </row>
  </sheetData>
  <mergeCells count="6">
    <mergeCell ref="E2:G2"/>
    <mergeCell ref="K2:M2"/>
    <mergeCell ref="A1:M1"/>
    <mergeCell ref="A2:A3"/>
    <mergeCell ref="H2:J2"/>
    <mergeCell ref="B2:D2"/>
  </mergeCells>
  <conditionalFormatting sqref="D4:D1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G4:G1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J4:J1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M4:M10">
    <cfRule type="cellIs" priority="7" operator="greaterThan" dxfId="0">
      <formula>0</formula>
    </cfRule>
    <cfRule type="cellIs" priority="8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M11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9" customWidth="1" min="4" max="4"/>
    <col width="15" customWidth="1" min="5" max="5"/>
    <col width="15" customWidth="1" min="6" max="6"/>
    <col width="9" customWidth="1" min="7" max="7"/>
    <col width="15" customWidth="1" min="8" max="8"/>
    <col width="15" customWidth="1" min="9" max="9"/>
    <col width="9" customWidth="1" min="10" max="10"/>
    <col width="15" customWidth="1" min="11" max="11"/>
    <col width="15" customWidth="1" min="12" max="12"/>
    <col width="9" customWidth="1" min="13" max="13"/>
  </cols>
  <sheetData>
    <row r="1" ht="30" customHeight="1">
      <c r="A1" s="23" t="inlineStr">
        <is>
          <t>ימי עבודה  –  כלל הרשת 2026  (עד מרץ)</t>
        </is>
      </c>
    </row>
    <row r="2" ht="22" customHeight="1">
      <c r="A2" s="2" t="inlineStr">
        <is>
          <t>בית ספר</t>
        </is>
      </c>
      <c r="B2" s="24" t="inlineStr">
        <is>
          <t>ינואר</t>
        </is>
      </c>
      <c r="E2" s="24" t="inlineStr">
        <is>
          <t>פברואר</t>
        </is>
      </c>
      <c r="H2" s="24" t="inlineStr">
        <is>
          <t>מרץ</t>
        </is>
      </c>
      <c r="K2" s="2" t="inlineStr">
        <is>
          <t>מינואר עד כה</t>
        </is>
      </c>
    </row>
    <row r="3" ht="16" customHeight="1">
      <c r="B3" s="5" t="inlineStr">
        <is>
          <t>ביצוע</t>
        </is>
      </c>
      <c r="C3" s="6" t="inlineStr">
        <is>
          <t>תקציב</t>
        </is>
      </c>
      <c r="D3" s="7" t="inlineStr">
        <is>
          <t>% פער</t>
        </is>
      </c>
      <c r="E3" s="5" t="inlineStr">
        <is>
          <t>ביצוע</t>
        </is>
      </c>
      <c r="F3" s="6" t="inlineStr">
        <is>
          <t>תקציב</t>
        </is>
      </c>
      <c r="G3" s="7" t="inlineStr">
        <is>
          <t>% פער</t>
        </is>
      </c>
      <c r="H3" s="5" t="inlineStr">
        <is>
          <t>ביצוע</t>
        </is>
      </c>
      <c r="I3" s="6" t="inlineStr">
        <is>
          <t>תקציב</t>
        </is>
      </c>
      <c r="J3" s="7" t="inlineStr">
        <is>
          <t>% פער</t>
        </is>
      </c>
      <c r="K3" s="5" t="inlineStr">
        <is>
          <t>ביצוע</t>
        </is>
      </c>
      <c r="L3" s="6" t="inlineStr">
        <is>
          <t>תקציב</t>
        </is>
      </c>
      <c r="M3" s="7" t="inlineStr">
        <is>
          <t>% פער</t>
        </is>
      </c>
    </row>
    <row r="4">
      <c r="A4" s="8" t="inlineStr">
        <is>
          <t>אשכול</t>
        </is>
      </c>
      <c r="B4" s="9" t="n">
        <v>14</v>
      </c>
      <c r="C4" s="10" t="n">
        <v>17</v>
      </c>
      <c r="D4" s="11">
        <f>IF(C4=0,"",(B4-C4)/C4)</f>
        <v/>
      </c>
      <c r="E4" s="9" t="n">
        <v>14</v>
      </c>
      <c r="F4" s="10" t="n">
        <v>14</v>
      </c>
      <c r="G4" s="11">
        <f>IF(F4=0,"",(E4-F4)/F4)</f>
        <v/>
      </c>
      <c r="H4" s="9" t="n">
        <v>8</v>
      </c>
      <c r="I4" s="10" t="n">
        <v>8</v>
      </c>
      <c r="J4" s="11">
        <f>IF(I4=0,"",(H4-I4)/I4)</f>
        <v/>
      </c>
      <c r="K4" s="9" t="n">
        <v>36</v>
      </c>
      <c r="L4" s="10" t="n">
        <v>39</v>
      </c>
      <c r="M4" s="11">
        <f>IF(L4=0,"",(K4-L4)/L4)</f>
        <v/>
      </c>
    </row>
    <row r="5">
      <c r="A5" s="17" t="inlineStr">
        <is>
          <t>גולן</t>
        </is>
      </c>
      <c r="B5" s="9" t="n">
        <v>16</v>
      </c>
      <c r="C5" s="10" t="n">
        <v>13</v>
      </c>
      <c r="D5" s="11">
        <f>IF(C5=0,"",(B5-C5)/C5)</f>
        <v/>
      </c>
      <c r="E5" s="9" t="n"/>
      <c r="F5" s="10" t="n">
        <v>12</v>
      </c>
      <c r="G5" s="11">
        <f>IF(F5=0,"",(E5-F5)/F5)</f>
        <v/>
      </c>
      <c r="H5" s="9" t="n"/>
      <c r="I5" s="10" t="n">
        <v>10</v>
      </c>
      <c r="J5" s="11">
        <f>IF(I5=0,"",(H5-I5)/I5)</f>
        <v/>
      </c>
      <c r="K5" s="9" t="n">
        <v>16</v>
      </c>
      <c r="L5" s="10" t="n">
        <v>35</v>
      </c>
      <c r="M5" s="11">
        <f>IF(L5=0,"",(K5-L5)/L5)</f>
        <v/>
      </c>
    </row>
    <row r="6">
      <c r="A6" s="8" t="inlineStr">
        <is>
          <t>גליל עליון</t>
        </is>
      </c>
      <c r="B6" s="9" t="n">
        <v>10</v>
      </c>
      <c r="C6" s="10" t="n">
        <v>13</v>
      </c>
      <c r="D6" s="11">
        <f>IF(C6=0,"",(B6-C6)/C6)</f>
        <v/>
      </c>
      <c r="E6" s="9" t="n">
        <v>13</v>
      </c>
      <c r="F6" s="10" t="n">
        <v>16</v>
      </c>
      <c r="G6" s="11">
        <f>IF(F6=0,"",(E6-F6)/F6)</f>
        <v/>
      </c>
      <c r="H6" s="9" t="n"/>
      <c r="I6" s="10" t="n">
        <v>14</v>
      </c>
      <c r="J6" s="11">
        <f>IF(I6=0,"",(H6-I6)/I6)</f>
        <v/>
      </c>
      <c r="K6" s="9" t="n">
        <v>23</v>
      </c>
      <c r="L6" s="10" t="n">
        <v>43</v>
      </c>
      <c r="M6" s="11">
        <f>IF(L6=0,"",(K6-L6)/L6)</f>
        <v/>
      </c>
    </row>
    <row r="7">
      <c r="A7" s="17" t="inlineStr">
        <is>
          <t>חצבה</t>
        </is>
      </c>
      <c r="B7" s="9" t="n">
        <v>17</v>
      </c>
      <c r="C7" s="10" t="n">
        <v>17</v>
      </c>
      <c r="D7" s="11">
        <f>IF(C7=0,"",(B7-C7)/C7)</f>
        <v/>
      </c>
      <c r="E7" s="9" t="n">
        <v>16</v>
      </c>
      <c r="F7" s="10" t="n">
        <v>16</v>
      </c>
      <c r="G7" s="11">
        <f>IF(F7=0,"",(E7-F7)/F7)</f>
        <v/>
      </c>
      <c r="H7" s="9" t="n">
        <v>8</v>
      </c>
      <c r="I7" s="10" t="n">
        <v>8</v>
      </c>
      <c r="J7" s="11">
        <f>IF(I7=0,"",(H7-I7)/I7)</f>
        <v/>
      </c>
      <c r="K7" s="9" t="n">
        <v>41</v>
      </c>
      <c r="L7" s="10" t="n">
        <v>41</v>
      </c>
      <c r="M7" s="11">
        <f>IF(L7=0,"",(K7-L7)/L7)</f>
        <v/>
      </c>
    </row>
    <row r="8">
      <c r="A8" s="8" t="inlineStr">
        <is>
          <t>ניצנה</t>
        </is>
      </c>
      <c r="B8" s="9" t="n">
        <v>19</v>
      </c>
      <c r="C8" s="10" t="n">
        <v>17</v>
      </c>
      <c r="D8" s="11">
        <f>IF(C8=0,"",(B8-C8)/C8)</f>
        <v/>
      </c>
      <c r="E8" s="9" t="n">
        <v>17</v>
      </c>
      <c r="F8" s="10" t="n">
        <v>16</v>
      </c>
      <c r="G8" s="11">
        <f>IF(F8=0,"",(E8-F8)/F8)</f>
        <v/>
      </c>
      <c r="H8" s="9" t="n">
        <v>9</v>
      </c>
      <c r="I8" s="10" t="n">
        <v>6</v>
      </c>
      <c r="J8" s="11">
        <f>IF(I8=0,"",(H8-I8)/I8)</f>
        <v/>
      </c>
      <c r="K8" s="9" t="n">
        <v>45</v>
      </c>
      <c r="L8" s="10" t="n">
        <v>39</v>
      </c>
      <c r="M8" s="11">
        <f>IF(L8=0,"",(K8-L8)/L8)</f>
        <v/>
      </c>
    </row>
    <row r="9">
      <c r="A9" s="17" t="inlineStr">
        <is>
          <t>ניצנים</t>
        </is>
      </c>
      <c r="B9" s="9" t="n">
        <v>16</v>
      </c>
      <c r="C9" s="10" t="n">
        <v>14</v>
      </c>
      <c r="D9" s="11">
        <f>IF(C9=0,"",(B9-C9)/C9)</f>
        <v/>
      </c>
      <c r="E9" s="9" t="n">
        <v>17</v>
      </c>
      <c r="F9" s="10" t="n">
        <v>14</v>
      </c>
      <c r="G9" s="11">
        <f>IF(F9=0,"",(E9-F9)/F9)</f>
        <v/>
      </c>
      <c r="H9" s="9" t="n">
        <v>5</v>
      </c>
      <c r="I9" s="10" t="n">
        <v>9</v>
      </c>
      <c r="J9" s="11">
        <f>IF(I9=0,"",(H9-I9)/I9)</f>
        <v/>
      </c>
      <c r="K9" s="9" t="n">
        <v>38</v>
      </c>
      <c r="L9" s="10" t="n">
        <v>37</v>
      </c>
      <c r="M9" s="11">
        <f>IF(L9=0,"",(K9-L9)/L9)</f>
        <v/>
      </c>
    </row>
    <row r="10">
      <c r="A10" s="8" t="inlineStr">
        <is>
          <t>תבור</t>
        </is>
      </c>
      <c r="B10" s="9" t="n">
        <v>15</v>
      </c>
      <c r="C10" s="10" t="n">
        <v>17</v>
      </c>
      <c r="D10" s="11">
        <f>IF(C10=0,"",(B10-C10)/C10)</f>
        <v/>
      </c>
      <c r="E10" s="9" t="n">
        <v>17</v>
      </c>
      <c r="F10" s="10" t="n">
        <v>16</v>
      </c>
      <c r="G10" s="11">
        <f>IF(F10=0,"",(E10-F10)/F10)</f>
        <v/>
      </c>
      <c r="H10" s="9" t="n"/>
      <c r="I10" s="10" t="n">
        <v>6</v>
      </c>
      <c r="J10" s="11">
        <f>IF(I10=0,"",(H10-I10)/I10)</f>
        <v/>
      </c>
      <c r="K10" s="9" t="n">
        <v>32</v>
      </c>
      <c r="L10" s="10" t="n">
        <v>39</v>
      </c>
      <c r="M10" s="11">
        <f>IF(L10=0,"",(K10-L10)/L10)</f>
        <v/>
      </c>
    </row>
    <row r="11" ht="20" customHeight="1">
      <c r="A11" s="18" t="inlineStr">
        <is>
          <t>סה"כ רשת</t>
        </is>
      </c>
      <c r="B11" s="19">
        <f>SUM(B4:B10)</f>
        <v/>
      </c>
      <c r="C11" s="19">
        <f>SUM(C4:C10)</f>
        <v/>
      </c>
      <c r="D11" s="20">
        <f>IF(C11=0,"",(B11-C11)/C11)</f>
        <v/>
      </c>
      <c r="E11" s="19">
        <f>SUM(E4:E10)</f>
        <v/>
      </c>
      <c r="F11" s="19">
        <f>SUM(F4:F10)</f>
        <v/>
      </c>
      <c r="G11" s="20">
        <f>IF(F11=0,"",(E11-F11)/F11)</f>
        <v/>
      </c>
      <c r="H11" s="19">
        <f>SUM(H4:H10)</f>
        <v/>
      </c>
      <c r="I11" s="19">
        <f>SUM(I4:I10)</f>
        <v/>
      </c>
      <c r="J11" s="20">
        <f>IF(I11=0,"",(H11-I11)/I11)</f>
        <v/>
      </c>
      <c r="K11" s="19">
        <f>SUM(K4:K10)</f>
        <v/>
      </c>
      <c r="L11" s="19">
        <f>SUM(L4:L10)</f>
        <v/>
      </c>
      <c r="M11" s="20">
        <f>IF(L11=0,"",(K11-L11)/L11)</f>
        <v/>
      </c>
    </row>
  </sheetData>
  <mergeCells count="6">
    <mergeCell ref="E2:G2"/>
    <mergeCell ref="K2:M2"/>
    <mergeCell ref="A1:M1"/>
    <mergeCell ref="A2:A3"/>
    <mergeCell ref="H2:J2"/>
    <mergeCell ref="B2:D2"/>
  </mergeCells>
  <conditionalFormatting sqref="D4:D1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G4:G1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J4:J1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M4:M10">
    <cfRule type="cellIs" priority="7" operator="greaterThan" dxfId="0">
      <formula>0</formula>
    </cfRule>
    <cfRule type="cellIs" priority="8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M11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9" customWidth="1" min="4" max="4"/>
    <col width="15" customWidth="1" min="5" max="5"/>
    <col width="15" customWidth="1" min="6" max="6"/>
    <col width="9" customWidth="1" min="7" max="7"/>
    <col width="15" customWidth="1" min="8" max="8"/>
    <col width="15" customWidth="1" min="9" max="9"/>
    <col width="9" customWidth="1" min="10" max="10"/>
    <col width="15" customWidth="1" min="11" max="11"/>
    <col width="15" customWidth="1" min="12" max="12"/>
    <col width="9" customWidth="1" min="13" max="13"/>
  </cols>
  <sheetData>
    <row r="1" ht="30" customHeight="1">
      <c r="A1" s="23" t="inlineStr">
        <is>
          <t>ממוצע עובדים/יום  –  כלל הרשת 2026  (עד מרץ)</t>
        </is>
      </c>
    </row>
    <row r="2" ht="22" customHeight="1">
      <c r="A2" s="2" t="inlineStr">
        <is>
          <t>בית ספר</t>
        </is>
      </c>
      <c r="B2" s="24" t="inlineStr">
        <is>
          <t>ינואר</t>
        </is>
      </c>
      <c r="E2" s="24" t="inlineStr">
        <is>
          <t>פברואר</t>
        </is>
      </c>
      <c r="H2" s="24" t="inlineStr">
        <is>
          <t>מרץ</t>
        </is>
      </c>
      <c r="K2" s="2" t="inlineStr">
        <is>
          <t>מינואר עד כה</t>
        </is>
      </c>
    </row>
    <row r="3" ht="16" customHeight="1">
      <c r="B3" s="5" t="inlineStr">
        <is>
          <t>ביצוע</t>
        </is>
      </c>
      <c r="C3" s="6" t="inlineStr">
        <is>
          <t>תקציב</t>
        </is>
      </c>
      <c r="D3" s="7" t="inlineStr">
        <is>
          <t>% פער</t>
        </is>
      </c>
      <c r="E3" s="5" t="inlineStr">
        <is>
          <t>ביצוע</t>
        </is>
      </c>
      <c r="F3" s="6" t="inlineStr">
        <is>
          <t>תקציב</t>
        </is>
      </c>
      <c r="G3" s="7" t="inlineStr">
        <is>
          <t>% פער</t>
        </is>
      </c>
      <c r="H3" s="5" t="inlineStr">
        <is>
          <t>ביצוע</t>
        </is>
      </c>
      <c r="I3" s="6" t="inlineStr">
        <is>
          <t>תקציב</t>
        </is>
      </c>
      <c r="J3" s="7" t="inlineStr">
        <is>
          <t>% פער</t>
        </is>
      </c>
      <c r="K3" s="5" t="inlineStr">
        <is>
          <t>ביצוע</t>
        </is>
      </c>
      <c r="L3" s="6" t="inlineStr">
        <is>
          <t>תקציב</t>
        </is>
      </c>
      <c r="M3" s="7" t="inlineStr">
        <is>
          <t>% פער</t>
        </is>
      </c>
    </row>
    <row r="4">
      <c r="A4" s="8" t="inlineStr">
        <is>
          <t>אשכול</t>
        </is>
      </c>
      <c r="B4" s="12" t="n">
        <v>28.35714285714286</v>
      </c>
      <c r="C4" s="13" t="n">
        <v>40.5</v>
      </c>
      <c r="D4" s="11">
        <f>IF(C4=0,"",(B4-C4)/C4)</f>
        <v/>
      </c>
      <c r="E4" s="12" t="n">
        <v>31.42857142857143</v>
      </c>
      <c r="F4" s="13" t="n">
        <v>40.5</v>
      </c>
      <c r="G4" s="11">
        <f>IF(F4=0,"",(E4-F4)/F4)</f>
        <v/>
      </c>
      <c r="H4" s="12" t="n">
        <v>10.625</v>
      </c>
      <c r="I4" s="13" t="n">
        <v>40.5</v>
      </c>
      <c r="J4" s="11">
        <f>IF(I4=0,"",(H4-I4)/I4)</f>
        <v/>
      </c>
      <c r="K4" s="12" t="n">
        <v>25.61111111111111</v>
      </c>
      <c r="L4" s="13" t="n">
        <v>40.5</v>
      </c>
      <c r="M4" s="11">
        <f>IF(L4=0,"",(K4-L4)/L4)</f>
        <v/>
      </c>
    </row>
    <row r="5">
      <c r="A5" s="17" t="inlineStr">
        <is>
          <t>גולן</t>
        </is>
      </c>
      <c r="B5" s="12" t="n">
        <v>44.8125</v>
      </c>
      <c r="C5" s="13" t="n">
        <v>51.6</v>
      </c>
      <c r="D5" s="11">
        <f>IF(C5=0,"",(B5-C5)/C5)</f>
        <v/>
      </c>
      <c r="E5" s="12" t="n"/>
      <c r="F5" s="13" t="n">
        <v>51.6</v>
      </c>
      <c r="G5" s="11">
        <f>IF(F5=0,"",(E5-F5)/F5)</f>
        <v/>
      </c>
      <c r="H5" s="12" t="n"/>
      <c r="I5" s="13" t="n">
        <v>51.6</v>
      </c>
      <c r="J5" s="11">
        <f>IF(I5=0,"",(H5-I5)/I5)</f>
        <v/>
      </c>
      <c r="K5" s="12" t="n">
        <v>44.8125</v>
      </c>
      <c r="L5" s="13" t="n">
        <v>51.6</v>
      </c>
      <c r="M5" s="11">
        <f>IF(L5=0,"",(K5-L5)/L5)</f>
        <v/>
      </c>
    </row>
    <row r="6">
      <c r="A6" s="8" t="inlineStr">
        <is>
          <t>גליל עליון</t>
        </is>
      </c>
      <c r="B6" s="12" t="n">
        <v>17.8</v>
      </c>
      <c r="C6" s="13" t="n">
        <v>17.6</v>
      </c>
      <c r="D6" s="11">
        <f>IF(C6=0,"",(B6-C6)/C6)</f>
        <v/>
      </c>
      <c r="E6" s="12" t="n">
        <v>17.69230769230769</v>
      </c>
      <c r="F6" s="13" t="n">
        <v>17.6</v>
      </c>
      <c r="G6" s="11">
        <f>IF(F6=0,"",(E6-F6)/F6)</f>
        <v/>
      </c>
      <c r="H6" s="12" t="n"/>
      <c r="I6" s="13" t="n">
        <v>17.6</v>
      </c>
      <c r="J6" s="11">
        <f>IF(I6=0,"",(H6-I6)/I6)</f>
        <v/>
      </c>
      <c r="K6" s="12" t="n">
        <v>17.73913043478261</v>
      </c>
      <c r="L6" s="13" t="n">
        <v>17.6</v>
      </c>
      <c r="M6" s="11">
        <f>IF(L6=0,"",(K6-L6)/L6)</f>
        <v/>
      </c>
    </row>
    <row r="7">
      <c r="A7" s="17" t="inlineStr">
        <is>
          <t>חצבה</t>
        </is>
      </c>
      <c r="B7" s="12" t="n">
        <v>70.23529411764706</v>
      </c>
      <c r="C7" s="13" t="n">
        <v>79.19999999999999</v>
      </c>
      <c r="D7" s="11">
        <f>IF(C7=0,"",(B7-C7)/C7)</f>
        <v/>
      </c>
      <c r="E7" s="12" t="n">
        <v>75.25</v>
      </c>
      <c r="F7" s="13" t="n">
        <v>79.19999999999999</v>
      </c>
      <c r="G7" s="11">
        <f>IF(F7=0,"",(E7-F7)/F7)</f>
        <v/>
      </c>
      <c r="H7" s="12" t="n">
        <v>13.75</v>
      </c>
      <c r="I7" s="13" t="n">
        <v>79.19999999999999</v>
      </c>
      <c r="J7" s="11">
        <f>IF(I7=0,"",(H7-I7)/I7)</f>
        <v/>
      </c>
      <c r="K7" s="12" t="n">
        <v>61.17073170731707</v>
      </c>
      <c r="L7" s="13" t="n">
        <v>79.19999999999999</v>
      </c>
      <c r="M7" s="11">
        <f>IF(L7=0,"",(K7-L7)/L7)</f>
        <v/>
      </c>
    </row>
    <row r="8">
      <c r="A8" s="8" t="inlineStr">
        <is>
          <t>ניצנה</t>
        </is>
      </c>
      <c r="B8" s="12" t="n">
        <v>20.31578947368421</v>
      </c>
      <c r="C8" s="13" t="n">
        <v>28.25</v>
      </c>
      <c r="D8" s="11">
        <f>IF(C8=0,"",(B8-C8)/C8)</f>
        <v/>
      </c>
      <c r="E8" s="12" t="n">
        <v>30.35294117647059</v>
      </c>
      <c r="F8" s="13" t="n">
        <v>28.25</v>
      </c>
      <c r="G8" s="11">
        <f>IF(F8=0,"",(E8-F8)/F8)</f>
        <v/>
      </c>
      <c r="H8" s="12" t="n">
        <v>4</v>
      </c>
      <c r="I8" s="13" t="n">
        <v>28.25</v>
      </c>
      <c r="J8" s="11">
        <f>IF(I8=0,"",(H8-I8)/I8)</f>
        <v/>
      </c>
      <c r="K8" s="12" t="n">
        <v>20.84444444444444</v>
      </c>
      <c r="L8" s="13" t="n">
        <v>28.25</v>
      </c>
      <c r="M8" s="11">
        <f>IF(L8=0,"",(K8-L8)/L8)</f>
        <v/>
      </c>
    </row>
    <row r="9">
      <c r="A9" s="17" t="inlineStr">
        <is>
          <t>ניצנים</t>
        </is>
      </c>
      <c r="B9" s="12" t="n">
        <v>34</v>
      </c>
      <c r="C9" s="13" t="n">
        <v>62.25</v>
      </c>
      <c r="D9" s="11">
        <f>IF(C9=0,"",(B9-C9)/C9)</f>
        <v/>
      </c>
      <c r="E9" s="12" t="n">
        <v>49.52941176470588</v>
      </c>
      <c r="F9" s="13" t="n">
        <v>62.25</v>
      </c>
      <c r="G9" s="11">
        <f>IF(F9=0,"",(E9-F9)/F9)</f>
        <v/>
      </c>
      <c r="H9" s="12" t="n">
        <v>14</v>
      </c>
      <c r="I9" s="13" t="n">
        <v>62.25</v>
      </c>
      <c r="J9" s="11">
        <f>IF(I9=0,"",(H9-I9)/I9)</f>
        <v/>
      </c>
      <c r="K9" s="12" t="n">
        <v>38.31578947368421</v>
      </c>
      <c r="L9" s="13" t="n">
        <v>62.25</v>
      </c>
      <c r="M9" s="11">
        <f>IF(L9=0,"",(K9-L9)/L9)</f>
        <v/>
      </c>
    </row>
    <row r="10">
      <c r="A10" s="8" t="inlineStr">
        <is>
          <t>תבור</t>
        </is>
      </c>
      <c r="B10" s="12" t="n">
        <v>25.73333333333333</v>
      </c>
      <c r="C10" s="13" t="n">
        <v>28.25</v>
      </c>
      <c r="D10" s="11">
        <f>IF(C10=0,"",(B10-C10)/C10)</f>
        <v/>
      </c>
      <c r="E10" s="12" t="n">
        <v>40.88235294117647</v>
      </c>
      <c r="F10" s="13" t="n">
        <v>28.25</v>
      </c>
      <c r="G10" s="11">
        <f>IF(F10=0,"",(E10-F10)/F10)</f>
        <v/>
      </c>
      <c r="H10" s="12" t="n"/>
      <c r="I10" s="13" t="n">
        <v>28.25</v>
      </c>
      <c r="J10" s="11">
        <f>IF(I10=0,"",(H10-I10)/I10)</f>
        <v/>
      </c>
      <c r="K10" s="12" t="n">
        <v>33.78125</v>
      </c>
      <c r="L10" s="13" t="n">
        <v>28.25</v>
      </c>
      <c r="M10" s="11">
        <f>IF(L10=0,"",(K10-L10)/L10)</f>
        <v/>
      </c>
    </row>
    <row r="11" ht="20" customHeight="1">
      <c r="A11" s="18" t="inlineStr">
        <is>
          <t>סה"כ רשת</t>
        </is>
      </c>
      <c r="B11" s="21" t="n">
        <v>35.53271028037383</v>
      </c>
      <c r="C11" s="21" t="n">
        <v>44.13425925925926</v>
      </c>
      <c r="D11" s="20">
        <f>IF(C11=0,"",(B11-C11)/C11)</f>
        <v/>
      </c>
      <c r="E11" s="21" t="n">
        <v>41.77659574468085</v>
      </c>
      <c r="F11" s="21" t="n">
        <v>43.37019230769231</v>
      </c>
      <c r="G11" s="20">
        <f>IF(F11=0,"",(E11-F11)/F11)</f>
        <v/>
      </c>
      <c r="H11" s="21" t="n">
        <v>10.03333333333333</v>
      </c>
      <c r="I11" s="21" t="n">
        <v>42.93852459016394</v>
      </c>
      <c r="J11" s="20">
        <f>IF(I11=0,"",(H11-I11)/I11)</f>
        <v/>
      </c>
      <c r="K11" s="21" t="n">
        <v>34.76190476190476</v>
      </c>
      <c r="L11" s="21" t="n">
        <v>43.57600732600733</v>
      </c>
      <c r="M11" s="20">
        <f>IF(L11=0,"",(K11-L11)/L11)</f>
        <v/>
      </c>
    </row>
  </sheetData>
  <mergeCells count="6">
    <mergeCell ref="E2:G2"/>
    <mergeCell ref="K2:M2"/>
    <mergeCell ref="A1:M1"/>
    <mergeCell ref="A2:A3"/>
    <mergeCell ref="H2:J2"/>
    <mergeCell ref="B2:D2"/>
  </mergeCells>
  <conditionalFormatting sqref="D4:D1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G4:G1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J4:J1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M4:M10">
    <cfRule type="cellIs" priority="7" operator="greaterThan" dxfId="0">
      <formula>0</formula>
    </cfRule>
    <cfRule type="cellIs" priority="8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55A11"/>
    <outlinePr summaryBelow="1" summaryRight="1"/>
    <pageSetUpPr/>
  </sheetPr>
  <dimension ref="A1:M11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9" customWidth="1" min="4" max="4"/>
    <col width="15" customWidth="1" min="5" max="5"/>
    <col width="15" customWidth="1" min="6" max="6"/>
    <col width="9" customWidth="1" min="7" max="7"/>
    <col width="15" customWidth="1" min="8" max="8"/>
    <col width="15" customWidth="1" min="9" max="9"/>
    <col width="9" customWidth="1" min="10" max="10"/>
    <col width="15" customWidth="1" min="11" max="11"/>
    <col width="15" customWidth="1" min="12" max="12"/>
    <col width="9" customWidth="1" min="13" max="13"/>
  </cols>
  <sheetData>
    <row r="1" ht="30" customHeight="1">
      <c r="A1" s="23" t="inlineStr">
        <is>
          <t>שעות/חניך  –  כלל הרשת 2026  (עד מרץ)</t>
        </is>
      </c>
    </row>
    <row r="2" ht="22" customHeight="1">
      <c r="A2" s="2" t="inlineStr">
        <is>
          <t>בית ספר</t>
        </is>
      </c>
      <c r="B2" s="24" t="inlineStr">
        <is>
          <t>ינואר</t>
        </is>
      </c>
      <c r="E2" s="24" t="inlineStr">
        <is>
          <t>פברואר</t>
        </is>
      </c>
      <c r="H2" s="24" t="inlineStr">
        <is>
          <t>מרץ</t>
        </is>
      </c>
      <c r="K2" s="2" t="inlineStr">
        <is>
          <t>מינואר עד כה</t>
        </is>
      </c>
    </row>
    <row r="3" ht="16" customHeight="1">
      <c r="B3" s="5" t="inlineStr">
        <is>
          <t>ביצוע</t>
        </is>
      </c>
      <c r="C3" s="6" t="inlineStr">
        <is>
          <t>תקציב</t>
        </is>
      </c>
      <c r="D3" s="7" t="inlineStr">
        <is>
          <t>% פער</t>
        </is>
      </c>
      <c r="E3" s="5" t="inlineStr">
        <is>
          <t>ביצוע</t>
        </is>
      </c>
      <c r="F3" s="6" t="inlineStr">
        <is>
          <t>תקציב</t>
        </is>
      </c>
      <c r="G3" s="7" t="inlineStr">
        <is>
          <t>% פער</t>
        </is>
      </c>
      <c r="H3" s="5" t="inlineStr">
        <is>
          <t>ביצוע</t>
        </is>
      </c>
      <c r="I3" s="6" t="inlineStr">
        <is>
          <t>תקציב</t>
        </is>
      </c>
      <c r="J3" s="7" t="inlineStr">
        <is>
          <t>% פער</t>
        </is>
      </c>
      <c r="K3" s="5" t="inlineStr">
        <is>
          <t>ביצוע</t>
        </is>
      </c>
      <c r="L3" s="6" t="inlineStr">
        <is>
          <t>תקציב</t>
        </is>
      </c>
      <c r="M3" s="7" t="inlineStr">
        <is>
          <t>% פער</t>
        </is>
      </c>
    </row>
    <row r="4">
      <c r="A4" s="8" t="inlineStr">
        <is>
          <t>אשכול</t>
        </is>
      </c>
      <c r="B4" s="12" t="n">
        <v>4.266401206867551</v>
      </c>
      <c r="C4" s="13" t="n">
        <v>5</v>
      </c>
      <c r="D4" s="11">
        <f>IF(C4=0,"",(B4-C4)/C4)</f>
        <v/>
      </c>
      <c r="E4" s="12" t="n">
        <v>4.317655252929781</v>
      </c>
      <c r="F4" s="13" t="n">
        <v>5</v>
      </c>
      <c r="G4" s="11">
        <f>IF(F4=0,"",(E4-F4)/F4)</f>
        <v/>
      </c>
      <c r="H4" s="12" t="n">
        <v>6.276203541504191</v>
      </c>
      <c r="I4" s="13" t="n">
        <v>5</v>
      </c>
      <c r="J4" s="11">
        <f>IF(I4=0,"",(H4-I4)/I4)</f>
        <v/>
      </c>
      <c r="K4" s="12" t="n">
        <v>4.732956076922116</v>
      </c>
      <c r="L4" s="13" t="n">
        <v>5</v>
      </c>
      <c r="M4" s="11">
        <f>IF(L4=0,"",(K4-L4)/L4)</f>
        <v/>
      </c>
    </row>
    <row r="5">
      <c r="A5" s="17" t="inlineStr">
        <is>
          <t>גולן</t>
        </is>
      </c>
      <c r="B5" s="12" t="n">
        <v>4.492744617359431</v>
      </c>
      <c r="C5" s="13" t="n">
        <v>4.5</v>
      </c>
      <c r="D5" s="11">
        <f>IF(C5=0,"",(B5-C5)/C5)</f>
        <v/>
      </c>
      <c r="E5" s="12" t="n"/>
      <c r="F5" s="13" t="n">
        <v>4.5</v>
      </c>
      <c r="G5" s="11">
        <f>IF(F5=0,"",(E5-F5)/F5)</f>
        <v/>
      </c>
      <c r="H5" s="12" t="n"/>
      <c r="I5" s="13" t="n">
        <v>5</v>
      </c>
      <c r="J5" s="11">
        <f>IF(I5=0,"",(H5-I5)/I5)</f>
        <v/>
      </c>
      <c r="K5" s="12" t="n">
        <v>4.492744617359431</v>
      </c>
      <c r="L5" s="13" t="n">
        <v>4.642857142857143</v>
      </c>
      <c r="M5" s="11">
        <f>IF(L5=0,"",(K5-L5)/L5)</f>
        <v/>
      </c>
    </row>
    <row r="6">
      <c r="A6" s="8" t="inlineStr">
        <is>
          <t>גליל עליון</t>
        </is>
      </c>
      <c r="B6" s="12" t="n">
        <v>4.628970660068657</v>
      </c>
      <c r="C6" s="13" t="n">
        <v>5</v>
      </c>
      <c r="D6" s="11">
        <f>IF(C6=0,"",(B6-C6)/C6)</f>
        <v/>
      </c>
      <c r="E6" s="12" t="n">
        <v>4.349245223918886</v>
      </c>
      <c r="F6" s="13" t="n">
        <v>5</v>
      </c>
      <c r="G6" s="11">
        <f>IF(F6=0,"",(E6-F6)/F6)</f>
        <v/>
      </c>
      <c r="H6" s="12" t="n"/>
      <c r="I6" s="13" t="n">
        <v>5.25</v>
      </c>
      <c r="J6" s="11">
        <f>IF(I6=0,"",(H6-I6)/I6)</f>
        <v/>
      </c>
      <c r="K6" s="12" t="n">
        <v>4.470864978766612</v>
      </c>
      <c r="L6" s="13" t="n">
        <v>5.081395348837209</v>
      </c>
      <c r="M6" s="11">
        <f>IF(L6=0,"",(K6-L6)/L6)</f>
        <v/>
      </c>
    </row>
    <row r="7">
      <c r="A7" s="17" t="inlineStr">
        <is>
          <t>חצבה</t>
        </is>
      </c>
      <c r="B7" s="12" t="n">
        <v>4.133267428495277</v>
      </c>
      <c r="C7" s="13" t="n">
        <v>5</v>
      </c>
      <c r="D7" s="11">
        <f>IF(C7=0,"",(B7-C7)/C7)</f>
        <v/>
      </c>
      <c r="E7" s="12" t="n">
        <v>4.029902426675786</v>
      </c>
      <c r="F7" s="13" t="n">
        <v>5</v>
      </c>
      <c r="G7" s="11">
        <f>IF(F7=0,"",(E7-F7)/F7)</f>
        <v/>
      </c>
      <c r="H7" s="12" t="n">
        <v>4.70142799908425</v>
      </c>
      <c r="I7" s="13" t="n">
        <v>5</v>
      </c>
      <c r="J7" s="11">
        <f>IF(I7=0,"",(H7-I7)/I7)</f>
        <v/>
      </c>
      <c r="K7" s="12" t="n">
        <v>4.203790465948933</v>
      </c>
      <c r="L7" s="13" t="n">
        <v>5</v>
      </c>
      <c r="M7" s="11">
        <f>IF(L7=0,"",(K7-L7)/L7)</f>
        <v/>
      </c>
    </row>
    <row r="8">
      <c r="A8" s="8" t="inlineStr">
        <is>
          <t>ניצנה</t>
        </is>
      </c>
      <c r="B8" s="12" t="n">
        <v>4.487391697435496</v>
      </c>
      <c r="C8" s="13" t="n">
        <v>5.25</v>
      </c>
      <c r="D8" s="11">
        <f>IF(C8=0,"",(B8-C8)/C8)</f>
        <v/>
      </c>
      <c r="E8" s="12" t="n">
        <v>4.569318734070967</v>
      </c>
      <c r="F8" s="13" t="n">
        <v>5.25</v>
      </c>
      <c r="G8" s="11">
        <f>IF(F8=0,"",(E8-F8)/F8)</f>
        <v/>
      </c>
      <c r="H8" s="12" t="n">
        <v>4.745370370602662</v>
      </c>
      <c r="I8" s="13" t="n">
        <v>5.25</v>
      </c>
      <c r="J8" s="11">
        <f>IF(I8=0,"",(H8-I8)/I8)</f>
        <v/>
      </c>
      <c r="K8" s="12" t="n">
        <v>4.569937645908996</v>
      </c>
      <c r="L8" s="13" t="n">
        <v>5.25</v>
      </c>
      <c r="M8" s="11">
        <f>IF(L8=0,"",(K8-L8)/L8)</f>
        <v/>
      </c>
    </row>
    <row r="9">
      <c r="A9" s="17" t="inlineStr">
        <is>
          <t>ניצנים</t>
        </is>
      </c>
      <c r="B9" s="12" t="n">
        <v>4.611038864691742</v>
      </c>
      <c r="C9" s="13" t="n">
        <v>4.75</v>
      </c>
      <c r="D9" s="11">
        <f>IF(C9=0,"",(B9-C9)/C9)</f>
        <v/>
      </c>
      <c r="E9" s="12" t="n">
        <v>4.352307857879043</v>
      </c>
      <c r="F9" s="13" t="n">
        <v>5</v>
      </c>
      <c r="G9" s="11">
        <f>IF(F9=0,"",(E9-F9)/F9)</f>
        <v/>
      </c>
      <c r="H9" s="12" t="n">
        <v>4.674894180012966</v>
      </c>
      <c r="I9" s="13" t="n">
        <v>5.25</v>
      </c>
      <c r="J9" s="11">
        <f>IF(I9=0,"",(H9-I9)/I9)</f>
        <v/>
      </c>
      <c r="K9" s="12" t="n">
        <v>4.503692797870432</v>
      </c>
      <c r="L9" s="13" t="n">
        <v>4.966216216216216</v>
      </c>
      <c r="M9" s="11">
        <f>IF(L9=0,"",(K9-L9)/L9)</f>
        <v/>
      </c>
    </row>
    <row r="10">
      <c r="A10" s="8" t="inlineStr">
        <is>
          <t>תבור</t>
        </is>
      </c>
      <c r="B10" s="12" t="n">
        <v>4.56879912962647</v>
      </c>
      <c r="C10" s="13" t="n">
        <v>5.25</v>
      </c>
      <c r="D10" s="11">
        <f>IF(C10=0,"",(B10-C10)/C10)</f>
        <v/>
      </c>
      <c r="E10" s="12" t="n">
        <v>4.375423310474214</v>
      </c>
      <c r="F10" s="13" t="n">
        <v>5.25</v>
      </c>
      <c r="G10" s="11">
        <f>IF(F10=0,"",(E10-F10)/F10)</f>
        <v/>
      </c>
      <c r="H10" s="12" t="n"/>
      <c r="I10" s="13" t="n">
        <v>5.25</v>
      </c>
      <c r="J10" s="11">
        <f>IF(I10=0,"",(H10-I10)/I10)</f>
        <v/>
      </c>
      <c r="K10" s="12" t="n">
        <v>4.466068225701834</v>
      </c>
      <c r="L10" s="13" t="n">
        <v>5.25</v>
      </c>
      <c r="M10" s="11">
        <f>IF(L10=0,"",(K10-L10)/L10)</f>
        <v/>
      </c>
    </row>
    <row r="11" ht="20" customHeight="1">
      <c r="A11" s="18" t="inlineStr">
        <is>
          <t>סה"כ רשת</t>
        </is>
      </c>
      <c r="B11" s="21" t="n">
        <v>4.4461479877546</v>
      </c>
      <c r="C11" s="21" t="n">
        <v>4.986111111111111</v>
      </c>
      <c r="D11" s="20">
        <f>IF(C11=0,"",(B11-C11)/C11)</f>
        <v/>
      </c>
      <c r="E11" s="21" t="n">
        <v>4.335272857659435</v>
      </c>
      <c r="F11" s="21" t="n">
        <v>5.019230769230769</v>
      </c>
      <c r="G11" s="20">
        <f>IF(F11=0,"",(E11-F11)/F11)</f>
        <v/>
      </c>
      <c r="H11" s="21" t="n">
        <v>5.130128552006544</v>
      </c>
      <c r="I11" s="21" t="n">
        <v>5.14344262295082</v>
      </c>
      <c r="J11" s="20">
        <f>IF(I11=0,"",(H11-I11)/I11)</f>
        <v/>
      </c>
      <c r="K11" s="21" t="n">
        <v>4.489858614155521</v>
      </c>
      <c r="L11" s="21" t="n">
        <v>5.033882783882784</v>
      </c>
      <c r="M11" s="20">
        <f>IF(L11=0,"",(K11-L11)/L11)</f>
        <v/>
      </c>
    </row>
  </sheetData>
  <mergeCells count="6">
    <mergeCell ref="E2:G2"/>
    <mergeCell ref="K2:M2"/>
    <mergeCell ref="A1:M1"/>
    <mergeCell ref="A2:A3"/>
    <mergeCell ref="H2:J2"/>
    <mergeCell ref="B2:D2"/>
  </mergeCells>
  <conditionalFormatting sqref="D4:D1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G4:G1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J4:J1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M4:M10">
    <cfRule type="cellIs" priority="7" operator="greaterThan" dxfId="0">
      <formula>0</formula>
    </cfRule>
    <cfRule type="cellIs" priority="8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33C00"/>
    <outlinePr summaryBelow="1" summaryRight="1"/>
    <pageSetUpPr/>
  </sheetPr>
  <dimension ref="A1:M11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9" customWidth="1" min="4" max="4"/>
    <col width="15" customWidth="1" min="5" max="5"/>
    <col width="15" customWidth="1" min="6" max="6"/>
    <col width="9" customWidth="1" min="7" max="7"/>
    <col width="15" customWidth="1" min="8" max="8"/>
    <col width="15" customWidth="1" min="9" max="9"/>
    <col width="9" customWidth="1" min="10" max="10"/>
    <col width="15" customWidth="1" min="11" max="11"/>
    <col width="15" customWidth="1" min="12" max="12"/>
    <col width="9" customWidth="1" min="13" max="13"/>
  </cols>
  <sheetData>
    <row r="1" ht="30" customHeight="1">
      <c r="A1" s="23" t="inlineStr">
        <is>
          <t>תעריף ממוצע בפועל (₪/ש)  –  כלל הרשת 2026  (עד מרץ)</t>
        </is>
      </c>
    </row>
    <row r="2" ht="22" customHeight="1">
      <c r="A2" s="2" t="inlineStr">
        <is>
          <t>בית ספר</t>
        </is>
      </c>
      <c r="B2" s="24" t="inlineStr">
        <is>
          <t>ינואר</t>
        </is>
      </c>
      <c r="E2" s="24" t="inlineStr">
        <is>
          <t>פברואר</t>
        </is>
      </c>
      <c r="H2" s="24" t="inlineStr">
        <is>
          <t>מרץ</t>
        </is>
      </c>
      <c r="K2" s="2" t="inlineStr">
        <is>
          <t>מינואר עד כה</t>
        </is>
      </c>
    </row>
    <row r="3" ht="16" customHeight="1">
      <c r="B3" s="5" t="inlineStr">
        <is>
          <t>ביצוע</t>
        </is>
      </c>
      <c r="C3" s="6" t="inlineStr">
        <is>
          <t>תקציב</t>
        </is>
      </c>
      <c r="D3" s="7" t="inlineStr">
        <is>
          <t>% פער</t>
        </is>
      </c>
      <c r="E3" s="5" t="inlineStr">
        <is>
          <t>ביצוע</t>
        </is>
      </c>
      <c r="F3" s="6" t="inlineStr">
        <is>
          <t>תקציב</t>
        </is>
      </c>
      <c r="G3" s="7" t="inlineStr">
        <is>
          <t>% פער</t>
        </is>
      </c>
      <c r="H3" s="5" t="inlineStr">
        <is>
          <t>ביצוע</t>
        </is>
      </c>
      <c r="I3" s="6" t="inlineStr">
        <is>
          <t>תקציב</t>
        </is>
      </c>
      <c r="J3" s="7" t="inlineStr">
        <is>
          <t>% פער</t>
        </is>
      </c>
      <c r="K3" s="5" t="inlineStr">
        <is>
          <t>ביצוע</t>
        </is>
      </c>
      <c r="L3" s="6" t="inlineStr">
        <is>
          <t>תקציב</t>
        </is>
      </c>
      <c r="M3" s="7" t="inlineStr">
        <is>
          <t>% פער</t>
        </is>
      </c>
    </row>
    <row r="4">
      <c r="A4" s="8" t="inlineStr">
        <is>
          <t>אשכול</t>
        </is>
      </c>
      <c r="B4" s="14" t="n">
        <v>30.2989555434702</v>
      </c>
      <c r="C4" s="15" t="n">
        <v>30</v>
      </c>
      <c r="D4" s="11">
        <f>IF(C4=0,"",(B4-C4)/C4)</f>
        <v/>
      </c>
      <c r="E4" s="14" t="n">
        <v>30</v>
      </c>
      <c r="F4" s="15" t="n">
        <v>30</v>
      </c>
      <c r="G4" s="11">
        <f>IF(F4=0,"",(E4-F4)/F4)</f>
        <v/>
      </c>
      <c r="H4" s="14" t="n">
        <v>30</v>
      </c>
      <c r="I4" s="15" t="n">
        <v>32</v>
      </c>
      <c r="J4" s="11">
        <f>IF(I4=0,"",(H4-I4)/I4)</f>
        <v/>
      </c>
      <c r="K4" s="14" t="n">
        <v>30.12265856425436</v>
      </c>
      <c r="L4" s="15" t="n">
        <v>30.41025641025641</v>
      </c>
      <c r="M4" s="11">
        <f>IF(L4=0,"",(K4-L4)/L4)</f>
        <v/>
      </c>
    </row>
    <row r="5">
      <c r="A5" s="17" t="inlineStr">
        <is>
          <t>גולן</t>
        </is>
      </c>
      <c r="B5" s="14" t="n">
        <v>39</v>
      </c>
      <c r="C5" s="15" t="n">
        <v>39</v>
      </c>
      <c r="D5" s="11">
        <f>IF(C5=0,"",(B5-C5)/C5)</f>
        <v/>
      </c>
      <c r="E5" s="14" t="n"/>
      <c r="F5" s="15" t="n">
        <v>39</v>
      </c>
      <c r="G5" s="11">
        <f>IF(F5=0,"",(E5-F5)/F5)</f>
        <v/>
      </c>
      <c r="H5" s="14" t="n"/>
      <c r="I5" s="15" t="n">
        <v>39</v>
      </c>
      <c r="J5" s="11">
        <f>IF(I5=0,"",(H5-I5)/I5)</f>
        <v/>
      </c>
      <c r="K5" s="14" t="n">
        <v>39</v>
      </c>
      <c r="L5" s="15" t="n">
        <v>39</v>
      </c>
      <c r="M5" s="11">
        <f>IF(L5=0,"",(K5-L5)/L5)</f>
        <v/>
      </c>
    </row>
    <row r="6">
      <c r="A6" s="8" t="inlineStr">
        <is>
          <t>גליל עליון</t>
        </is>
      </c>
      <c r="B6" s="14" t="n">
        <v>35</v>
      </c>
      <c r="C6" s="15" t="n">
        <v>35</v>
      </c>
      <c r="D6" s="11">
        <f>IF(C6=0,"",(B6-C6)/C6)</f>
        <v/>
      </c>
      <c r="E6" s="14" t="n">
        <v>33.94874999983782</v>
      </c>
      <c r="F6" s="15" t="n">
        <v>35</v>
      </c>
      <c r="G6" s="11">
        <f>IF(F6=0,"",(E6-F6)/F6)</f>
        <v/>
      </c>
      <c r="H6" s="14" t="n"/>
      <c r="I6" s="15" t="n">
        <v>35</v>
      </c>
      <c r="J6" s="11">
        <f>IF(I6=0,"",(H6-I6)/I6)</f>
        <v/>
      </c>
      <c r="K6" s="14" t="n">
        <v>34.42426178622497</v>
      </c>
      <c r="L6" s="15" t="n">
        <v>35</v>
      </c>
      <c r="M6" s="11">
        <f>IF(L6=0,"",(K6-L6)/L6)</f>
        <v/>
      </c>
    </row>
    <row r="7">
      <c r="A7" s="17" t="inlineStr">
        <is>
          <t>חצבה</t>
        </is>
      </c>
      <c r="B7" s="14" t="n">
        <v>33.91361454315263</v>
      </c>
      <c r="C7" s="15" t="n">
        <v>35</v>
      </c>
      <c r="D7" s="11">
        <f>IF(C7=0,"",(B7-C7)/C7)</f>
        <v/>
      </c>
      <c r="E7" s="14" t="n">
        <v>34.17905812345033</v>
      </c>
      <c r="F7" s="15" t="n">
        <v>35</v>
      </c>
      <c r="G7" s="11">
        <f>IF(F7=0,"",(E7-F7)/F7)</f>
        <v/>
      </c>
      <c r="H7" s="14" t="n">
        <v>32</v>
      </c>
      <c r="I7" s="15" t="n">
        <v>35</v>
      </c>
      <c r="J7" s="11">
        <f>IF(I7=0,"",(H7-I7)/I7)</f>
        <v/>
      </c>
      <c r="K7" s="14" t="n">
        <v>33.94260077489223</v>
      </c>
      <c r="L7" s="15" t="n">
        <v>35</v>
      </c>
      <c r="M7" s="11">
        <f>IF(L7=0,"",(K7-L7)/L7)</f>
        <v/>
      </c>
    </row>
    <row r="8">
      <c r="A8" s="8" t="inlineStr">
        <is>
          <t>ניצנה</t>
        </is>
      </c>
      <c r="B8" s="14" t="n">
        <v>36.86660218673045</v>
      </c>
      <c r="C8" s="15" t="n">
        <v>33</v>
      </c>
      <c r="D8" s="11">
        <f>IF(C8=0,"",(B8-C8)/C8)</f>
        <v/>
      </c>
      <c r="E8" s="14" t="n">
        <v>33</v>
      </c>
      <c r="F8" s="15" t="n">
        <v>33</v>
      </c>
      <c r="G8" s="11">
        <f>IF(F8=0,"",(E8-F8)/F8)</f>
        <v/>
      </c>
      <c r="H8" s="14" t="n">
        <v>33</v>
      </c>
      <c r="I8" s="15" t="n">
        <v>33</v>
      </c>
      <c r="J8" s="11">
        <f>IF(I8=0,"",(H8-I8)/I8)</f>
        <v/>
      </c>
      <c r="K8" s="14" t="n">
        <v>34.56019014605386</v>
      </c>
      <c r="L8" s="15" t="n">
        <v>33</v>
      </c>
      <c r="M8" s="11">
        <f>IF(L8=0,"",(K8-L8)/L8)</f>
        <v/>
      </c>
    </row>
    <row r="9">
      <c r="A9" s="17" t="inlineStr">
        <is>
          <t>ניצנים</t>
        </is>
      </c>
      <c r="B9" s="14" t="n">
        <v>36.99717805395368</v>
      </c>
      <c r="C9" s="15" t="n">
        <v>36</v>
      </c>
      <c r="D9" s="11">
        <f>IF(C9=0,"",(B9-C9)/C9)</f>
        <v/>
      </c>
      <c r="E9" s="14" t="n">
        <v>36</v>
      </c>
      <c r="F9" s="15" t="n">
        <v>36</v>
      </c>
      <c r="G9" s="11">
        <f>IF(F9=0,"",(E9-F9)/F9)</f>
        <v/>
      </c>
      <c r="H9" s="14" t="n">
        <v>36</v>
      </c>
      <c r="I9" s="15" t="n">
        <v>36</v>
      </c>
      <c r="J9" s="11">
        <f>IF(I9=0,"",(H9-I9)/I9)</f>
        <v/>
      </c>
      <c r="K9" s="14" t="n">
        <v>36.37813699363043</v>
      </c>
      <c r="L9" s="15" t="n">
        <v>36</v>
      </c>
      <c r="M9" s="11">
        <f>IF(L9=0,"",(K9-L9)/L9)</f>
        <v/>
      </c>
    </row>
    <row r="10">
      <c r="A10" s="8" t="inlineStr">
        <is>
          <t>תבור</t>
        </is>
      </c>
      <c r="B10" s="14" t="n">
        <v>35</v>
      </c>
      <c r="C10" s="15" t="n">
        <v>33</v>
      </c>
      <c r="D10" s="11">
        <f>IF(C10=0,"",(B10-C10)/C10)</f>
        <v/>
      </c>
      <c r="E10" s="14" t="n">
        <v>35</v>
      </c>
      <c r="F10" s="15" t="n">
        <v>33</v>
      </c>
      <c r="G10" s="11">
        <f>IF(F10=0,"",(E10-F10)/F10)</f>
        <v/>
      </c>
      <c r="H10" s="14" t="n"/>
      <c r="I10" s="15" t="n">
        <v>33</v>
      </c>
      <c r="J10" s="11">
        <f>IF(I10=0,"",(H10-I10)/I10)</f>
        <v/>
      </c>
      <c r="K10" s="14" t="n">
        <v>35</v>
      </c>
      <c r="L10" s="15" t="n">
        <v>33</v>
      </c>
      <c r="M10" s="11">
        <f>IF(L10=0,"",(K10-L10)/L10)</f>
        <v/>
      </c>
    </row>
    <row r="11" ht="20" customHeight="1">
      <c r="A11" s="18" t="inlineStr">
        <is>
          <t>סה"כ רשת</t>
        </is>
      </c>
      <c r="B11" s="22" t="n">
        <v>35.44053378741415</v>
      </c>
      <c r="C11" s="22" t="n">
        <v>34.19444444444444</v>
      </c>
      <c r="D11" s="20">
        <f>IF(C11=0,"",(B11-C11)/C11)</f>
        <v/>
      </c>
      <c r="E11" s="22" t="n">
        <v>33.78934765928826</v>
      </c>
      <c r="F11" s="22" t="n">
        <v>34.30769230769231</v>
      </c>
      <c r="G11" s="20">
        <f>IF(F11=0,"",(E11-F11)/F11)</f>
        <v/>
      </c>
      <c r="H11" s="22" t="n">
        <v>32.43333333333333</v>
      </c>
      <c r="I11" s="22" t="n">
        <v>35.01639344262295</v>
      </c>
      <c r="J11" s="20">
        <f>IF(I11=0,"",(H11-I11)/I11)</f>
        <v/>
      </c>
      <c r="K11" s="22" t="n">
        <v>34.41297888959867</v>
      </c>
      <c r="L11" s="22" t="n">
        <v>34.42124542124542</v>
      </c>
      <c r="M11" s="20">
        <f>IF(L11=0,"",(K11-L11)/L11)</f>
        <v/>
      </c>
    </row>
  </sheetData>
  <mergeCells count="6">
    <mergeCell ref="E2:G2"/>
    <mergeCell ref="K2:M2"/>
    <mergeCell ref="A1:M1"/>
    <mergeCell ref="A2:A3"/>
    <mergeCell ref="H2:J2"/>
    <mergeCell ref="B2:D2"/>
  </mergeCells>
  <conditionalFormatting sqref="D4:D1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G4:G1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J4:J1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M4:M10">
    <cfRule type="cellIs" priority="7" operator="greaterThan" dxfId="0">
      <formula>0</formula>
    </cfRule>
    <cfRule type="cellIs" priority="8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F8F00"/>
    <outlinePr summaryBelow="1" summaryRight="1"/>
    <pageSetUpPr/>
  </sheetPr>
  <dimension ref="A1:E5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25" t="inlineStr">
        <is>
          <t>הכנסה שאינה שעתית  –  כלל הרשת 2026  (עד מרץ)</t>
        </is>
      </c>
    </row>
    <row r="2" ht="14" customHeight="1">
      <c r="A2" s="26" t="inlineStr">
        <is>
          <t>תשלומים יומיים ולפי תפוקה – לא נכללים ב-KPI השעתיים של הרשת</t>
        </is>
      </c>
    </row>
    <row r="3" ht="22" customHeight="1">
      <c r="A3" s="2" t="inlineStr">
        <is>
          <t>בית ספר</t>
        </is>
      </c>
      <c r="B3" s="24" t="inlineStr">
        <is>
          <t>ינואר</t>
        </is>
      </c>
      <c r="C3" s="24" t="inlineStr">
        <is>
          <t>פברואר</t>
        </is>
      </c>
      <c r="D3" s="24" t="inlineStr">
        <is>
          <t>מרץ</t>
        </is>
      </c>
      <c r="E3" s="2" t="inlineStr">
        <is>
          <t>מינואר עד כה</t>
        </is>
      </c>
    </row>
    <row r="4">
      <c r="A4" s="8" t="inlineStr">
        <is>
          <t>תבור</t>
        </is>
      </c>
      <c r="B4" s="16" t="n">
        <v>30830</v>
      </c>
      <c r="C4" s="16" t="n">
        <v>12630</v>
      </c>
      <c r="D4" s="16" t="n"/>
      <c r="E4" s="27" t="n">
        <v>43460</v>
      </c>
    </row>
    <row r="5" ht="20" customHeight="1">
      <c r="A5" s="18" t="inlineStr">
        <is>
          <t>סה"כ רשת</t>
        </is>
      </c>
      <c r="B5" s="19">
        <f>SUM(B4:B4)</f>
        <v/>
      </c>
      <c r="C5" s="19">
        <f>SUM(C4:C4)</f>
        <v/>
      </c>
      <c r="D5" s="19">
        <f>SUM(D4:D4)</f>
        <v/>
      </c>
      <c r="E5" s="19">
        <f>SUM(E4:E4)</f>
        <v/>
      </c>
    </row>
  </sheetData>
  <mergeCells count="2">
    <mergeCell ref="A2:E2"/>
    <mergeCell ref="A1:E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C51B2DF52839A24880F5A44990A2903E" ma:contentTypeVersion="20" ma:contentTypeDescription="צור מסמך חדש." ma:contentTypeScope="" ma:versionID="6d7b22392d9f15dd71f146f17d92e7f1">
  <xsd:schema xmlns:xsd="http://www.w3.org/2001/XMLSchema" xmlns:xs="http://www.w3.org/2001/XMLSchema" xmlns:p="http://schemas.microsoft.com/office/2006/metadata/properties" xmlns:ns2="3b171586-1276-4147-a472-75ee4e8864b8" xmlns:ns3="9f5944b6-fab9-47ef-9172-7602c374cd8e" targetNamespace="http://schemas.microsoft.com/office/2006/metadata/properties" ma:root="true" ma:fieldsID="00e5fd02fb1f8aea850892db633e4248" ns2:_="" ns3:_="">
    <xsd:import namespace="3b171586-1276-4147-a472-75ee4e8864b8"/>
    <xsd:import namespace="9f5944b6-fab9-47ef-9172-7602c374cd8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2:TaxCatchAll" minOccurs="0"/>
                <xsd:element ref="ns3:lcf76f155ced4ddcb4097134ff3c332f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71586-1276-4147-a472-75ee4e8864b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e69935c-3901-4902-9a24-c84c2fa51e43}" ma:internalName="TaxCatchAll" ma:showField="CatchAllData" ma:web="3b171586-1276-4147-a472-75ee4e8864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5944b6-fab9-47ef-9172-7602c374cd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תגיות תמונה" ma:readOnly="false" ma:fieldId="{5cf76f15-5ced-4ddc-b409-7134ff3c332f}" ma:taxonomyMulti="true" ma:sspId="bbfaf555-2751-48bb-be26-f13bc84f1c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5944b6-fab9-47ef-9172-7602c374cd8e">
      <Terms xmlns="http://schemas.microsoft.com/office/infopath/2007/PartnerControls"/>
    </lcf76f155ced4ddcb4097134ff3c332f>
    <TaxCatchAll xmlns="3b171586-1276-4147-a472-75ee4e8864b8" xsi:nil="true"/>
  </documentManagement>
</p:properties>
</file>

<file path=customXml/itemProps1.xml><?xml version="1.0" encoding="utf-8"?>
<ds:datastoreItem xmlns:ds="http://schemas.openxmlformats.org/officeDocument/2006/customXml" ds:itemID="{56B2E73A-DA98-4043-A332-E8BB44009F7A}"/>
</file>

<file path=customXml/itemProps2.xml><?xml version="1.0" encoding="utf-8"?>
<ds:datastoreItem xmlns:ds="http://schemas.openxmlformats.org/officeDocument/2006/customXml" ds:itemID="{89FCFA76-3E78-45AF-867B-1C2A84BB4A21}"/>
</file>

<file path=customXml/itemProps3.xml><?xml version="1.0" encoding="utf-8"?>
<ds:datastoreItem xmlns:ds="http://schemas.openxmlformats.org/officeDocument/2006/customXml" ds:itemID="{E2283C29-8309-4888-8591-7E6C7BC6F50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2026-04-20T10:26:25Z</dcterms:created>
  <dcterms:modified xsi:type="dcterms:W3CDTF">2026-04-20T10:26:25Z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0x010100C51B2DF52839A24880F5A44990A2903E</vt:lpwstr>
  </property>
</Properties>
</file>