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ניצנה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19</v>
      </c>
      <c r="C4" s="8" t="n">
        <v>17</v>
      </c>
      <c r="D4" s="9" t="n">
        <v>20.31578947368421</v>
      </c>
      <c r="E4" s="10" t="n">
        <v>28.25</v>
      </c>
      <c r="F4" s="9" t="n">
        <v>4.487391697435496</v>
      </c>
      <c r="G4" s="10" t="n">
        <v>5.25</v>
      </c>
      <c r="H4" s="7" t="n">
        <v>63190.499998099</v>
      </c>
      <c r="I4" s="8" t="n">
        <v>83203.3125</v>
      </c>
      <c r="J4" s="11" t="n">
        <v>36.86660218673045</v>
      </c>
      <c r="K4" s="12" t="n">
        <v>33</v>
      </c>
    </row>
    <row r="5">
      <c r="A5" s="6" t="inlineStr">
        <is>
          <t>פברואר</t>
        </is>
      </c>
      <c r="B5" s="7" t="n">
        <v>17</v>
      </c>
      <c r="C5" s="8" t="n">
        <v>16</v>
      </c>
      <c r="D5" s="9" t="n">
        <v>30.35294117647059</v>
      </c>
      <c r="E5" s="10" t="n">
        <v>28.25</v>
      </c>
      <c r="F5" s="9" t="n">
        <v>4.569318734070967</v>
      </c>
      <c r="G5" s="10" t="n">
        <v>5.25</v>
      </c>
      <c r="H5" s="7" t="n">
        <v>78006.49999415036</v>
      </c>
      <c r="I5" s="8" t="n">
        <v>78309</v>
      </c>
      <c r="J5" s="11" t="n">
        <v>33</v>
      </c>
      <c r="K5" s="12" t="n">
        <v>33</v>
      </c>
    </row>
    <row r="6">
      <c r="A6" s="6" t="inlineStr">
        <is>
          <t>מרץ</t>
        </is>
      </c>
      <c r="B6" s="7" t="n">
        <v>9</v>
      </c>
      <c r="C6" s="8" t="n">
        <v>6</v>
      </c>
      <c r="D6" s="9" t="n">
        <v>4</v>
      </c>
      <c r="E6" s="10" t="n">
        <v>28.25</v>
      </c>
      <c r="F6" s="9" t="n">
        <v>4.745370370602662</v>
      </c>
      <c r="G6" s="10" t="n">
        <v>5.25</v>
      </c>
      <c r="H6" s="7" t="n">
        <v>5610.000000128697</v>
      </c>
      <c r="I6" s="8" t="n">
        <v>29365.875</v>
      </c>
      <c r="J6" s="11" t="n">
        <v>33</v>
      </c>
      <c r="K6" s="12" t="n">
        <v>33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שעות/חניך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45</v>
      </c>
      <c r="C11" s="17" t="n">
        <v>20.84444444444444</v>
      </c>
      <c r="D11" s="17" t="n">
        <v>94.39698577529107</v>
      </c>
      <c r="E11" s="17" t="n">
        <v>4.569937645908996</v>
      </c>
      <c r="F11" s="16" t="n">
        <v>146806.9999923781</v>
      </c>
      <c r="G11" s="18" t="n">
        <v>34.56019014605386</v>
      </c>
    </row>
    <row r="12">
      <c r="A12" s="19" t="inlineStr">
        <is>
          <t>תקציב</t>
        </is>
      </c>
      <c r="B12" s="20" t="n">
        <v>39</v>
      </c>
      <c r="C12" s="21" t="n">
        <v>28.25</v>
      </c>
      <c r="D12" s="21" t="n">
        <v>148.3125</v>
      </c>
      <c r="E12" s="21" t="n">
        <v>5.25</v>
      </c>
      <c r="F12" s="20" t="n">
        <v>190878.1875</v>
      </c>
      <c r="G12" s="22" t="n">
        <v>33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19</v>
      </c>
      <c r="C3" s="30" t="n">
        <v>75.50000000046566</v>
      </c>
      <c r="D3" s="30" t="n">
        <v>3.973684210550824</v>
      </c>
      <c r="E3" s="29" t="n">
        <v>2491.500000015367</v>
      </c>
      <c r="F3" s="31" t="n">
        <v>33</v>
      </c>
    </row>
    <row r="4">
      <c r="A4" s="32" t="inlineStr">
        <is>
          <t>19-ינו</t>
        </is>
      </c>
      <c r="B4" s="33" t="n">
        <v>23</v>
      </c>
      <c r="C4" s="34" t="n">
        <v>96.58333333290648</v>
      </c>
      <c r="D4" s="34" t="n">
        <v>4.199275362300281</v>
      </c>
      <c r="E4" s="33" t="n">
        <v>3187.249999985914</v>
      </c>
      <c r="F4" s="35" t="n">
        <v>33</v>
      </c>
    </row>
    <row r="5">
      <c r="A5" s="28" t="inlineStr">
        <is>
          <t>20-ינו</t>
        </is>
      </c>
      <c r="B5" s="29" t="n">
        <v>27</v>
      </c>
      <c r="C5" s="30" t="n">
        <v>117.7499999977299</v>
      </c>
      <c r="D5" s="30" t="n">
        <v>4.361111111027033</v>
      </c>
      <c r="E5" s="29" t="n">
        <v>3885.749999925087</v>
      </c>
      <c r="F5" s="31" t="n">
        <v>33</v>
      </c>
    </row>
    <row r="6">
      <c r="A6" s="32" t="inlineStr">
        <is>
          <t>21-ינו</t>
        </is>
      </c>
      <c r="B6" s="33" t="n">
        <v>31</v>
      </c>
      <c r="C6" s="34" t="n">
        <v>139.5833333350602</v>
      </c>
      <c r="D6" s="34" t="n">
        <v>4.502688172098715</v>
      </c>
      <c r="E6" s="33" t="n">
        <v>4606.250000056985</v>
      </c>
      <c r="F6" s="35" t="n">
        <v>33</v>
      </c>
    </row>
    <row r="7">
      <c r="A7" s="28" t="inlineStr">
        <is>
          <t>22-ינו</t>
        </is>
      </c>
      <c r="B7" s="29" t="n">
        <v>25</v>
      </c>
      <c r="C7" s="30" t="n">
        <v>111.2499999970314</v>
      </c>
      <c r="D7" s="30" t="n">
        <v>4.449999999881256</v>
      </c>
      <c r="E7" s="29" t="n">
        <v>3671.249999902037</v>
      </c>
      <c r="F7" s="31" t="n">
        <v>33</v>
      </c>
    </row>
    <row r="8">
      <c r="A8" s="32" t="inlineStr">
        <is>
          <t>23-ינו</t>
        </is>
      </c>
      <c r="B8" s="33" t="n">
        <v>31</v>
      </c>
      <c r="C8" s="34" t="n">
        <v>138.7499999974389</v>
      </c>
      <c r="D8" s="34" t="n">
        <v>4.475806451530286</v>
      </c>
      <c r="E8" s="33" t="n">
        <v>4578.749999915482</v>
      </c>
      <c r="F8" s="35" t="n">
        <v>33</v>
      </c>
    </row>
    <row r="9">
      <c r="A9" s="28" t="inlineStr">
        <is>
          <t>27-ינו</t>
        </is>
      </c>
      <c r="B9" s="29" t="n">
        <v>14</v>
      </c>
      <c r="C9" s="30" t="n">
        <v>80.33058035687702</v>
      </c>
      <c r="D9" s="30" t="n">
        <v>5.737898596919787</v>
      </c>
      <c r="E9" s="29" t="n">
        <v>6058.249999990396</v>
      </c>
      <c r="F9" s="31" t="n">
        <v>75.41648489374762</v>
      </c>
    </row>
    <row r="10">
      <c r="A10" s="32" t="inlineStr">
        <is>
          <t>28-ינו</t>
        </is>
      </c>
      <c r="B10" s="33" t="n">
        <v>28</v>
      </c>
      <c r="C10" s="34" t="n">
        <v>98.95044642840965</v>
      </c>
      <c r="D10" s="34" t="n">
        <v>3.533944515300345</v>
      </c>
      <c r="E10" s="33" t="n">
        <v>3333.499999994878</v>
      </c>
      <c r="F10" s="35" t="n">
        <v>33.68857969131706</v>
      </c>
    </row>
    <row r="11">
      <c r="A11" s="28" t="inlineStr">
        <is>
          <t>05-ינו</t>
        </is>
      </c>
      <c r="B11" s="29" t="n">
        <v>16</v>
      </c>
      <c r="C11" s="30" t="n">
        <v>72.08333335386124</v>
      </c>
      <c r="D11" s="30" t="n">
        <v>4.505208334616327</v>
      </c>
      <c r="E11" s="29" t="n">
        <v>2378.750000677421</v>
      </c>
      <c r="F11" s="31" t="n">
        <v>33</v>
      </c>
    </row>
    <row r="12">
      <c r="A12" s="32" t="inlineStr">
        <is>
          <t>08-ינו</t>
        </is>
      </c>
      <c r="B12" s="33" t="n">
        <v>21</v>
      </c>
      <c r="C12" s="34" t="n">
        <v>83.25</v>
      </c>
      <c r="D12" s="34" t="n">
        <v>3.964285714285714</v>
      </c>
      <c r="E12" s="33" t="n">
        <v>2747.25</v>
      </c>
      <c r="F12" s="35" t="n">
        <v>33</v>
      </c>
    </row>
    <row r="13">
      <c r="A13" s="28" t="inlineStr">
        <is>
          <t>15-ינו</t>
        </is>
      </c>
      <c r="B13" s="29" t="n">
        <v>16</v>
      </c>
      <c r="C13" s="30" t="n">
        <v>65.25</v>
      </c>
      <c r="D13" s="30" t="n">
        <v>4.078125</v>
      </c>
      <c r="E13" s="29" t="n">
        <v>2153.25</v>
      </c>
      <c r="F13" s="31" t="n">
        <v>33</v>
      </c>
    </row>
    <row r="14">
      <c r="A14" s="32" t="inlineStr">
        <is>
          <t>06-ינו</t>
        </is>
      </c>
      <c r="B14" s="33" t="n">
        <v>20</v>
      </c>
      <c r="C14" s="34" t="n">
        <v>94.16666666348465</v>
      </c>
      <c r="D14" s="34" t="n">
        <v>4.708333333174233</v>
      </c>
      <c r="E14" s="33" t="n">
        <v>3107.499999894993</v>
      </c>
      <c r="F14" s="35" t="n">
        <v>33</v>
      </c>
    </row>
    <row r="15">
      <c r="A15" s="28" t="inlineStr">
        <is>
          <t>12-ינו</t>
        </is>
      </c>
      <c r="B15" s="29" t="n">
        <v>20</v>
      </c>
      <c r="C15" s="30" t="n">
        <v>95.999999981781</v>
      </c>
      <c r="D15" s="30" t="n">
        <v>4.79999999908905</v>
      </c>
      <c r="E15" s="29" t="n">
        <v>3167.999999398773</v>
      </c>
      <c r="F15" s="31" t="n">
        <v>33</v>
      </c>
    </row>
    <row r="16">
      <c r="A16" s="32" t="inlineStr">
        <is>
          <t>13-ינו</t>
        </is>
      </c>
      <c r="B16" s="33" t="n">
        <v>20</v>
      </c>
      <c r="C16" s="34" t="n">
        <v>87.08333330781898</v>
      </c>
      <c r="D16" s="34" t="n">
        <v>4.354166665390949</v>
      </c>
      <c r="E16" s="33" t="n">
        <v>2873.749999158026</v>
      </c>
      <c r="F16" s="35" t="n">
        <v>33</v>
      </c>
    </row>
    <row r="17">
      <c r="A17" s="28" t="inlineStr">
        <is>
          <t>07-ינו</t>
        </is>
      </c>
      <c r="B17" s="29" t="n">
        <v>11</v>
      </c>
      <c r="C17" s="30" t="n">
        <v>49.49999999103602</v>
      </c>
      <c r="D17" s="30" t="n">
        <v>4.499999999185093</v>
      </c>
      <c r="E17" s="29" t="n">
        <v>1633.499999704189</v>
      </c>
      <c r="F17" s="31" t="n">
        <v>33</v>
      </c>
    </row>
    <row r="18">
      <c r="A18" s="32" t="inlineStr">
        <is>
          <t>14-ינו</t>
        </is>
      </c>
      <c r="B18" s="33" t="n">
        <v>15</v>
      </c>
      <c r="C18" s="34" t="n">
        <v>67.49999998777639</v>
      </c>
      <c r="D18" s="34" t="n">
        <v>4.499999999185093</v>
      </c>
      <c r="E18" s="33" t="n">
        <v>2227.499999596621</v>
      </c>
      <c r="F18" s="35" t="n">
        <v>33</v>
      </c>
    </row>
    <row r="19">
      <c r="A19" s="28" t="inlineStr">
        <is>
          <t>25-ינו</t>
        </is>
      </c>
      <c r="B19" s="29" t="n">
        <v>19</v>
      </c>
      <c r="C19" s="30" t="n">
        <v>98.33333333296468</v>
      </c>
      <c r="D19" s="30" t="n">
        <v>5.175438596471825</v>
      </c>
      <c r="E19" s="29" t="n">
        <v>3244.999999987835</v>
      </c>
      <c r="F19" s="31" t="n">
        <v>33</v>
      </c>
    </row>
    <row r="20">
      <c r="A20" s="32" t="inlineStr">
        <is>
          <t>26-ינו</t>
        </is>
      </c>
      <c r="B20" s="33" t="n">
        <v>16</v>
      </c>
      <c r="C20" s="34" t="n">
        <v>79.99999999790452</v>
      </c>
      <c r="D20" s="34" t="n">
        <v>4.999999999869033</v>
      </c>
      <c r="E20" s="33" t="n">
        <v>5791.999999930849</v>
      </c>
      <c r="F20" s="35" t="n">
        <v>72.40000000103203</v>
      </c>
    </row>
    <row r="21">
      <c r="A21" s="28" t="inlineStr">
        <is>
          <t>29-ינו</t>
        </is>
      </c>
      <c r="B21" s="29" t="n">
        <v>14</v>
      </c>
      <c r="C21" s="30" t="n">
        <v>62.16666666558012</v>
      </c>
      <c r="D21" s="30" t="n">
        <v>4.44047619039858</v>
      </c>
      <c r="E21" s="29" t="n">
        <v>2051.499999964144</v>
      </c>
      <c r="F21" s="31" t="n">
        <v>33</v>
      </c>
    </row>
    <row r="24" ht="18" customHeight="1">
      <c r="A24" s="13" t="inlineStr">
        <is>
          <t>סיכום חודשי</t>
        </is>
      </c>
    </row>
    <row r="25" ht="32" customHeight="1">
      <c r="A25" s="36" t="inlineStr"/>
      <c r="B25" s="3" t="inlineStr">
        <is>
          <t>ימי עבודה</t>
        </is>
      </c>
      <c r="C25" s="3" t="inlineStr">
        <is>
          <t>ממוצע עובדים/יום</t>
        </is>
      </c>
      <c r="D25" s="3" t="inlineStr">
        <is>
          <t>ממוצע שעות/יום</t>
        </is>
      </c>
      <c r="E25" s="3" t="inlineStr">
        <is>
          <t>שעות/חניך</t>
        </is>
      </c>
      <c r="F25" s="3" t="inlineStr">
        <is>
          <t>הכנסה (₪)</t>
        </is>
      </c>
      <c r="G25" s="3" t="inlineStr">
        <is>
          <t>תעריף ממוצע בפועל (₪/ש)</t>
        </is>
      </c>
    </row>
    <row r="26">
      <c r="A26" s="15" t="inlineStr">
        <is>
          <t>ביצוע</t>
        </is>
      </c>
      <c r="B26" s="16" t="n">
        <v>19</v>
      </c>
      <c r="C26" s="17" t="n">
        <v>20.31578947368421</v>
      </c>
      <c r="D26" s="17" t="n">
        <v>90.21215930148036</v>
      </c>
      <c r="E26" s="17" t="n">
        <v>4.487391697435496</v>
      </c>
      <c r="F26" s="16" t="n">
        <v>63190.499998099</v>
      </c>
      <c r="G26" s="18" t="n">
        <v>36.86660218673045</v>
      </c>
    </row>
    <row r="27">
      <c r="A27" s="19" t="inlineStr">
        <is>
          <t>תקציב</t>
        </is>
      </c>
      <c r="B27" s="20" t="n">
        <v>17</v>
      </c>
      <c r="C27" s="21" t="n">
        <v>28.25</v>
      </c>
      <c r="D27" s="21" t="n">
        <v>148.3125</v>
      </c>
      <c r="E27" s="21" t="n">
        <v>5.25</v>
      </c>
      <c r="F27" s="20" t="n">
        <v>83203.3125</v>
      </c>
      <c r="G27" s="22" t="n">
        <v>33</v>
      </c>
    </row>
    <row r="29">
      <c r="A29" s="23" t="inlineStr">
        <is>
          <t>פער</t>
        </is>
      </c>
      <c r="B29" s="24">
        <f>B26-B27</f>
        <v/>
      </c>
      <c r="C29" s="25">
        <f>C26-C27</f>
        <v/>
      </c>
      <c r="D29" s="25">
        <f>D26-D27</f>
        <v/>
      </c>
      <c r="E29" s="25">
        <f>E26-E27</f>
        <v/>
      </c>
      <c r="F29" s="24">
        <f>F26-F27</f>
        <v/>
      </c>
      <c r="G29" s="26">
        <f>G26-G27</f>
        <v/>
      </c>
    </row>
    <row r="30">
      <c r="A30" s="23" t="inlineStr">
        <is>
          <t>% פער</t>
        </is>
      </c>
      <c r="B30" s="27">
        <f>IF(B27=0,"",(B26-B27)/B27)</f>
        <v/>
      </c>
      <c r="C30" s="27">
        <f>IF(C27=0,"",(C26-C27)/C27)</f>
        <v/>
      </c>
      <c r="D30" s="27">
        <f>IF(D27=0,"",(D26-D27)/D27)</f>
        <v/>
      </c>
      <c r="E30" s="27">
        <f>IF(E27=0,"",(E26-E27)/E27)</f>
        <v/>
      </c>
      <c r="F30" s="27">
        <f>IF(F27=0,"",(F26-F27)/F27)</f>
        <v/>
      </c>
      <c r="G30" s="27">
        <f>IF(G27=0,"",(G26-G27)/G27)</f>
        <v/>
      </c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29</v>
      </c>
      <c r="C3" s="30" t="n">
        <v>125.999999998603</v>
      </c>
      <c r="D3" s="30" t="n">
        <v>4.344827586158725</v>
      </c>
      <c r="E3" s="29" t="n">
        <v>4157.9999999539</v>
      </c>
      <c r="F3" s="31" t="n">
        <v>33</v>
      </c>
    </row>
    <row r="4">
      <c r="A4" s="32" t="inlineStr">
        <is>
          <t>03-פבר</t>
        </is>
      </c>
      <c r="B4" s="33" t="n">
        <v>29</v>
      </c>
      <c r="C4" s="34" t="n">
        <v>138.3333333254559</v>
      </c>
      <c r="D4" s="34" t="n">
        <v>4.7701149422571</v>
      </c>
      <c r="E4" s="33" t="n">
        <v>4564.999999740045</v>
      </c>
      <c r="F4" s="35" t="n">
        <v>33</v>
      </c>
    </row>
    <row r="5">
      <c r="A5" s="28" t="inlineStr">
        <is>
          <t>04-פבר</t>
        </is>
      </c>
      <c r="B5" s="29" t="n">
        <v>31</v>
      </c>
      <c r="C5" s="30" t="n">
        <v>145.1666666449164</v>
      </c>
      <c r="D5" s="30" t="n">
        <v>4.68279569822311</v>
      </c>
      <c r="E5" s="29" t="n">
        <v>4790.499999282241</v>
      </c>
      <c r="F5" s="31" t="n">
        <v>33</v>
      </c>
    </row>
    <row r="6">
      <c r="A6" s="32" t="inlineStr">
        <is>
          <t>05-פבר</t>
        </is>
      </c>
      <c r="B6" s="33" t="n">
        <v>32</v>
      </c>
      <c r="C6" s="34" t="n">
        <v>146.0000000045402</v>
      </c>
      <c r="D6" s="34" t="n">
        <v>4.562500000141881</v>
      </c>
      <c r="E6" s="33" t="n">
        <v>4818.000000149827</v>
      </c>
      <c r="F6" s="35" t="n">
        <v>33</v>
      </c>
    </row>
    <row r="7">
      <c r="A7" s="28" t="inlineStr">
        <is>
          <t>09-פבר</t>
        </is>
      </c>
      <c r="B7" s="29" t="n">
        <v>25</v>
      </c>
      <c r="C7" s="30" t="n">
        <v>118.0833333497867</v>
      </c>
      <c r="D7" s="30" t="n">
        <v>4.723333333991468</v>
      </c>
      <c r="E7" s="29" t="n">
        <v>3896.750000542961</v>
      </c>
      <c r="F7" s="31" t="n">
        <v>33</v>
      </c>
    </row>
    <row r="8">
      <c r="A8" s="32" t="inlineStr">
        <is>
          <t>10-פבר</t>
        </is>
      </c>
      <c r="B8" s="33" t="n">
        <v>35</v>
      </c>
      <c r="C8" s="34" t="n">
        <v>165.9166666413657</v>
      </c>
      <c r="D8" s="34" t="n">
        <v>4.740476189753307</v>
      </c>
      <c r="E8" s="33" t="n">
        <v>5475.249999165069</v>
      </c>
      <c r="F8" s="35" t="n">
        <v>33</v>
      </c>
    </row>
    <row r="9">
      <c r="A9" s="28" t="inlineStr">
        <is>
          <t>11-פבר</t>
        </is>
      </c>
      <c r="B9" s="29" t="n">
        <v>36</v>
      </c>
      <c r="C9" s="30" t="n">
        <v>176.6666666499223</v>
      </c>
      <c r="D9" s="30" t="n">
        <v>4.907407406942285</v>
      </c>
      <c r="E9" s="29" t="n">
        <v>5829.999999447435</v>
      </c>
      <c r="F9" s="31" t="n">
        <v>33</v>
      </c>
    </row>
    <row r="10">
      <c r="A10" s="32" t="inlineStr">
        <is>
          <t>12-פבר</t>
        </is>
      </c>
      <c r="B10" s="33" t="n">
        <v>35</v>
      </c>
      <c r="C10" s="34" t="n">
        <v>155.2500000082073</v>
      </c>
      <c r="D10" s="34" t="n">
        <v>4.435714285948779</v>
      </c>
      <c r="E10" s="33" t="n">
        <v>5123.25000027084</v>
      </c>
      <c r="F10" s="35" t="n">
        <v>33</v>
      </c>
    </row>
    <row r="11">
      <c r="A11" s="28" t="inlineStr">
        <is>
          <t>16-פבר</t>
        </is>
      </c>
      <c r="B11" s="29" t="n">
        <v>33</v>
      </c>
      <c r="C11" s="30" t="n">
        <v>156.9999999704305</v>
      </c>
      <c r="D11" s="30" t="n">
        <v>4.757575756679713</v>
      </c>
      <c r="E11" s="29" t="n">
        <v>5180.999999024207</v>
      </c>
      <c r="F11" s="31" t="n">
        <v>33</v>
      </c>
    </row>
    <row r="12">
      <c r="A12" s="32" t="inlineStr">
        <is>
          <t>17-פבר</t>
        </is>
      </c>
      <c r="B12" s="33" t="n">
        <v>35</v>
      </c>
      <c r="C12" s="34" t="n">
        <v>169.7499999759602</v>
      </c>
      <c r="D12" s="34" t="n">
        <v>4.84999999931315</v>
      </c>
      <c r="E12" s="33" t="n">
        <v>5601.749999206688</v>
      </c>
      <c r="F12" s="35" t="n">
        <v>33</v>
      </c>
    </row>
    <row r="13">
      <c r="A13" s="28" t="inlineStr">
        <is>
          <t>18-פבר</t>
        </is>
      </c>
      <c r="B13" s="29" t="n">
        <v>33</v>
      </c>
      <c r="C13" s="30" t="n">
        <v>157.7499999784632</v>
      </c>
      <c r="D13" s="30" t="n">
        <v>4.780303029650399</v>
      </c>
      <c r="E13" s="29" t="n">
        <v>5205.749999289284</v>
      </c>
      <c r="F13" s="31" t="n">
        <v>33</v>
      </c>
    </row>
    <row r="14">
      <c r="A14" s="32" t="inlineStr">
        <is>
          <t>19-פבר</t>
        </is>
      </c>
      <c r="B14" s="33" t="n">
        <v>33</v>
      </c>
      <c r="C14" s="34" t="n">
        <v>142.5833332879702</v>
      </c>
      <c r="D14" s="34" t="n">
        <v>4.320707069332429</v>
      </c>
      <c r="E14" s="33" t="n">
        <v>4705.249998503015</v>
      </c>
      <c r="F14" s="35" t="n">
        <v>33</v>
      </c>
    </row>
    <row r="15">
      <c r="A15" s="28" t="inlineStr">
        <is>
          <t>23-פבר</t>
        </is>
      </c>
      <c r="B15" s="29" t="n">
        <v>32</v>
      </c>
      <c r="C15" s="30" t="n">
        <v>153.5833332995535</v>
      </c>
      <c r="D15" s="30" t="n">
        <v>4.799479165611046</v>
      </c>
      <c r="E15" s="29" t="n">
        <v>5068.249998885265</v>
      </c>
      <c r="F15" s="31" t="n">
        <v>33</v>
      </c>
    </row>
    <row r="16">
      <c r="A16" s="32" t="inlineStr">
        <is>
          <t>24-פבר</t>
        </is>
      </c>
      <c r="B16" s="33" t="n">
        <v>33</v>
      </c>
      <c r="C16" s="34" t="n">
        <v>133.6666666982928</v>
      </c>
      <c r="D16" s="34" t="n">
        <v>4.050505051463419</v>
      </c>
      <c r="E16" s="33" t="n">
        <v>4411.000001043663</v>
      </c>
      <c r="F16" s="35" t="n">
        <v>33</v>
      </c>
    </row>
    <row r="17">
      <c r="A17" s="28" t="inlineStr">
        <is>
          <t>26-פבר</t>
        </is>
      </c>
      <c r="B17" s="29" t="n">
        <v>33</v>
      </c>
      <c r="C17" s="30" t="n">
        <v>130.9166666544043</v>
      </c>
      <c r="D17" s="30" t="n">
        <v>3.967171716800129</v>
      </c>
      <c r="E17" s="29" t="n">
        <v>4320.24999959534</v>
      </c>
      <c r="F17" s="31" t="n">
        <v>33</v>
      </c>
    </row>
    <row r="18">
      <c r="A18" s="32" t="inlineStr">
        <is>
          <t>25-פבר</t>
        </is>
      </c>
      <c r="B18" s="33" t="n">
        <v>23</v>
      </c>
      <c r="C18" s="34" t="n">
        <v>108.9166666608653</v>
      </c>
      <c r="D18" s="34" t="n">
        <v>4.735507246124579</v>
      </c>
      <c r="E18" s="33" t="n">
        <v>3594.249999808555</v>
      </c>
      <c r="F18" s="35" t="n">
        <v>33</v>
      </c>
    </row>
    <row r="19">
      <c r="A19" s="28" t="inlineStr">
        <is>
          <t>27-פבר</t>
        </is>
      </c>
      <c r="B19" s="29" t="n">
        <v>9</v>
      </c>
      <c r="C19" s="30" t="n">
        <v>38.25000000733417</v>
      </c>
      <c r="D19" s="30" t="n">
        <v>4.250000000814907</v>
      </c>
      <c r="E19" s="29" t="n">
        <v>1262.250000242027</v>
      </c>
      <c r="F19" s="31" t="n">
        <v>33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30.35294117647059</v>
      </c>
      <c r="D24" s="17" t="n">
        <v>139.049019597416</v>
      </c>
      <c r="E24" s="17" t="n">
        <v>4.569318734070967</v>
      </c>
      <c r="F24" s="16" t="n">
        <v>78006.49999415036</v>
      </c>
      <c r="G24" s="18" t="n">
        <v>33</v>
      </c>
    </row>
    <row r="25">
      <c r="A25" s="19" t="inlineStr">
        <is>
          <t>תקציב</t>
        </is>
      </c>
      <c r="B25" s="20" t="n">
        <v>16</v>
      </c>
      <c r="C25" s="21" t="n">
        <v>28.25</v>
      </c>
      <c r="D25" s="21" t="n">
        <v>148.3125</v>
      </c>
      <c r="E25" s="21" t="n">
        <v>5.25</v>
      </c>
      <c r="F25" s="20" t="n">
        <v>78309</v>
      </c>
      <c r="G25" s="22" t="n">
        <v>33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5</v>
      </c>
      <c r="C3" s="30" t="n">
        <v>25</v>
      </c>
      <c r="D3" s="30" t="n">
        <v>5</v>
      </c>
      <c r="E3" s="29" t="n">
        <v>825</v>
      </c>
      <c r="F3" s="31" t="n">
        <v>33</v>
      </c>
    </row>
    <row r="4">
      <c r="A4" s="32" t="inlineStr">
        <is>
          <t>10-מרץ</t>
        </is>
      </c>
      <c r="B4" s="33" t="n">
        <v>3</v>
      </c>
      <c r="C4" s="34" t="n">
        <v>16.50000000488944</v>
      </c>
      <c r="D4" s="34" t="n">
        <v>5.500000001629815</v>
      </c>
      <c r="E4" s="33" t="n">
        <v>544.5000001613516</v>
      </c>
      <c r="F4" s="35" t="n">
        <v>33</v>
      </c>
    </row>
    <row r="5">
      <c r="A5" s="28" t="inlineStr">
        <is>
          <t>11-מרץ</t>
        </is>
      </c>
      <c r="B5" s="29" t="n">
        <v>3</v>
      </c>
      <c r="C5" s="30" t="n">
        <v>16.50000000488944</v>
      </c>
      <c r="D5" s="30" t="n">
        <v>5.500000001629815</v>
      </c>
      <c r="E5" s="29" t="n">
        <v>544.5000001613516</v>
      </c>
      <c r="F5" s="31" t="n">
        <v>33</v>
      </c>
    </row>
    <row r="6">
      <c r="A6" s="32" t="inlineStr">
        <is>
          <t>12-מרץ</t>
        </is>
      </c>
      <c r="B6" s="33" t="n">
        <v>4</v>
      </c>
      <c r="C6" s="34" t="n">
        <v>20.91666666581295</v>
      </c>
      <c r="D6" s="34" t="n">
        <v>5.229166666453239</v>
      </c>
      <c r="E6" s="33" t="n">
        <v>690.2499999718275</v>
      </c>
      <c r="F6" s="35" t="n">
        <v>33</v>
      </c>
    </row>
    <row r="7">
      <c r="A7" s="28" t="inlineStr">
        <is>
          <t>16-מרץ</t>
        </is>
      </c>
      <c r="B7" s="29" t="n">
        <v>6</v>
      </c>
      <c r="C7" s="30" t="n">
        <v>30.49999999639113</v>
      </c>
      <c r="D7" s="30" t="n">
        <v>5.083333332731854</v>
      </c>
      <c r="E7" s="29" t="n">
        <v>1006.499999880907</v>
      </c>
      <c r="F7" s="31" t="n">
        <v>33</v>
      </c>
    </row>
    <row r="8">
      <c r="A8" s="32" t="inlineStr">
        <is>
          <t>17-מרץ</t>
        </is>
      </c>
      <c r="B8" s="33" t="n">
        <v>4</v>
      </c>
      <c r="C8" s="34" t="n">
        <v>17.91666666354286</v>
      </c>
      <c r="D8" s="34" t="n">
        <v>4.479166665885714</v>
      </c>
      <c r="E8" s="33" t="n">
        <v>591.2499998969142</v>
      </c>
      <c r="F8" s="35" t="n">
        <v>33</v>
      </c>
    </row>
    <row r="9">
      <c r="A9" s="28" t="inlineStr">
        <is>
          <t>18-מרץ</t>
        </is>
      </c>
      <c r="B9" s="29" t="n">
        <v>3</v>
      </c>
      <c r="C9" s="30" t="n">
        <v>15</v>
      </c>
      <c r="D9" s="30" t="n">
        <v>5</v>
      </c>
      <c r="E9" s="29" t="n">
        <v>495</v>
      </c>
      <c r="F9" s="31" t="n">
        <v>33</v>
      </c>
    </row>
    <row r="10">
      <c r="A10" s="32" t="inlineStr">
        <is>
          <t>19-מרץ</t>
        </is>
      </c>
      <c r="B10" s="33" t="n">
        <v>4</v>
      </c>
      <c r="C10" s="34" t="n">
        <v>20.33333333092742</v>
      </c>
      <c r="D10" s="34" t="n">
        <v>5.083333332731854</v>
      </c>
      <c r="E10" s="33" t="n">
        <v>670.9999999206048</v>
      </c>
      <c r="F10" s="35" t="n">
        <v>33</v>
      </c>
    </row>
    <row r="11">
      <c r="A11" s="28" t="inlineStr">
        <is>
          <t>22-מרץ</t>
        </is>
      </c>
      <c r="B11" s="29" t="n">
        <v>4</v>
      </c>
      <c r="C11" s="30" t="n">
        <v>7.333333337446675</v>
      </c>
      <c r="D11" s="30" t="n">
        <v>1.833333334361669</v>
      </c>
      <c r="E11" s="29" t="n">
        <v>242.0000001357403</v>
      </c>
      <c r="F11" s="31" t="n">
        <v>33</v>
      </c>
    </row>
    <row r="14" ht="18" customHeight="1">
      <c r="A14" s="13" t="inlineStr">
        <is>
          <t>סיכום חודשי</t>
        </is>
      </c>
    </row>
    <row r="15" ht="32" customHeight="1">
      <c r="A15" s="36" t="inlineStr"/>
      <c r="B15" s="3" t="inlineStr">
        <is>
          <t>ימי עבודה</t>
        </is>
      </c>
      <c r="C15" s="3" t="inlineStr">
        <is>
          <t>ממוצע עובדים/יום</t>
        </is>
      </c>
      <c r="D15" s="3" t="inlineStr">
        <is>
          <t>ממוצע שעות/יום</t>
        </is>
      </c>
      <c r="E15" s="3" t="inlineStr">
        <is>
          <t>שעות/חניך</t>
        </is>
      </c>
      <c r="F15" s="3" t="inlineStr">
        <is>
          <t>הכנסה (₪)</t>
        </is>
      </c>
      <c r="G15" s="3" t="inlineStr">
        <is>
          <t>תעריף ממוצע בפועל (₪/ש)</t>
        </is>
      </c>
    </row>
    <row r="16">
      <c r="A16" s="15" t="inlineStr">
        <is>
          <t>ביצוע</t>
        </is>
      </c>
      <c r="B16" s="16" t="n">
        <v>9</v>
      </c>
      <c r="C16" s="17" t="n">
        <v>4</v>
      </c>
      <c r="D16" s="17" t="n">
        <v>18.88888888932221</v>
      </c>
      <c r="E16" s="17" t="n">
        <v>4.745370370602662</v>
      </c>
      <c r="F16" s="16" t="n">
        <v>5610.000000128697</v>
      </c>
      <c r="G16" s="18" t="n">
        <v>33</v>
      </c>
    </row>
    <row r="17">
      <c r="A17" s="19" t="inlineStr">
        <is>
          <t>תקציב</t>
        </is>
      </c>
      <c r="B17" s="20" t="n">
        <v>6</v>
      </c>
      <c r="C17" s="21" t="n">
        <v>28.25</v>
      </c>
      <c r="D17" s="21" t="n">
        <v>148.3125</v>
      </c>
      <c r="E17" s="21" t="n">
        <v>5.25</v>
      </c>
      <c r="F17" s="20" t="n">
        <v>29365.875</v>
      </c>
      <c r="G17" s="22" t="n">
        <v>33</v>
      </c>
    </row>
    <row r="19">
      <c r="A19" s="23" t="inlineStr">
        <is>
          <t>פער</t>
        </is>
      </c>
      <c r="B19" s="24">
        <f>B16-B17</f>
        <v/>
      </c>
      <c r="C19" s="25">
        <f>C16-C17</f>
        <v/>
      </c>
      <c r="D19" s="25">
        <f>D16-D17</f>
        <v/>
      </c>
      <c r="E19" s="25">
        <f>E16-E17</f>
        <v/>
      </c>
      <c r="F19" s="24">
        <f>F16-F17</f>
        <v/>
      </c>
      <c r="G19" s="26">
        <f>G16-G17</f>
        <v/>
      </c>
    </row>
    <row r="20">
      <c r="A20" s="23" t="inlineStr">
        <is>
          <t>% פער</t>
        </is>
      </c>
      <c r="B20" s="27">
        <f>IF(B17=0,"",(B16-B17)/B17)</f>
        <v/>
      </c>
      <c r="C20" s="27">
        <f>IF(C17=0,"",(C16-C17)/C17)</f>
        <v/>
      </c>
      <c r="D20" s="27">
        <f>IF(D17=0,"",(D16-D17)/D17)</f>
        <v/>
      </c>
      <c r="E20" s="27">
        <f>IF(E17=0,"",(E16-E17)/E17)</f>
        <v/>
      </c>
      <c r="F20" s="27">
        <f>IF(F17=0,"",(F16-F17)/F17)</f>
        <v/>
      </c>
      <c r="G20" s="27">
        <f>IF(G17=0,"",(G16-G17)/G17)</f>
        <v/>
      </c>
    </row>
  </sheetData>
  <mergeCells count="2">
    <mergeCell ref="A14:G14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58685F54-48C9-4D9F-AD4A-786D43785283}"/>
</file>

<file path=customXml/itemProps2.xml><?xml version="1.0" encoding="utf-8"?>
<ds:datastoreItem xmlns:ds="http://schemas.openxmlformats.org/officeDocument/2006/customXml" ds:itemID="{6C0E79CF-18F7-49AD-835D-9A8B7D752CF8}"/>
</file>

<file path=customXml/itemProps3.xml><?xml version="1.0" encoding="utf-8"?>
<ds:datastoreItem xmlns:ds="http://schemas.openxmlformats.org/officeDocument/2006/customXml" ds:itemID="{2ACD8E53-87EC-4A04-8EF1-29A148BB22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2026-04-20T10:26:25Z</dcterms:created>
  <dcterms:modified xsi:type="dcterms:W3CDTF">2026-04-20T10:26:25Z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