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hashomer.sharepoint.com/sites/ksafim/Shared Documents/General/כספים - תכנון ובקרה/אדם ואדמה/2026/בקרות חודשיות/הכנסות מחקלאים/ניתוח פערים/דוחות/2026-03-מרץ_v2/"/>
    </mc:Choice>
  </mc:AlternateContent>
  <xr:revisionPtr revIDLastSave="1" documentId="11_4CF4DE823A17276BAFFC44183CAA78DBE22C8B9D" xr6:coauthVersionLast="47" xr6:coauthVersionMax="47" xr10:uidLastSave="{C22E9AB3-61E8-42A0-9ABE-14BAEE592C00}"/>
  <bookViews>
    <workbookView xWindow="-108" yWindow="-108" windowWidth="23256" windowHeight="12456" xr2:uid="{00000000-000D-0000-FFFF-FFFF00000000}"/>
  </bookViews>
  <sheets>
    <sheet name="מינואר עד כה" sheetId="1" r:id="rId1"/>
    <sheet name="ינואר" sheetId="2" r:id="rId2"/>
    <sheet name="פברוא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3" l="1"/>
  <c r="F28" i="3"/>
  <c r="E28" i="3"/>
  <c r="D28" i="3"/>
  <c r="C28" i="3"/>
  <c r="B28" i="3"/>
  <c r="G27" i="3"/>
  <c r="F27" i="3"/>
  <c r="E27" i="3"/>
  <c r="D27" i="3"/>
  <c r="C27" i="3"/>
  <c r="B27" i="3"/>
  <c r="G26" i="2"/>
  <c r="F26" i="2"/>
  <c r="E26" i="2"/>
  <c r="D26" i="2"/>
  <c r="C26" i="2"/>
  <c r="B26" i="2"/>
  <c r="G25" i="2"/>
  <c r="F25" i="2"/>
  <c r="E25" i="2"/>
  <c r="D25" i="2"/>
  <c r="C25" i="2"/>
  <c r="B25" i="2"/>
  <c r="G14" i="1"/>
  <c r="F14" i="1"/>
  <c r="E14" i="1"/>
  <c r="D14" i="1"/>
  <c r="C14" i="1"/>
  <c r="B14" i="1"/>
  <c r="G13" i="1"/>
  <c r="F13" i="1"/>
  <c r="E13" i="1"/>
  <c r="D13" i="1"/>
  <c r="C13" i="1"/>
  <c r="B13" i="1"/>
</calcChain>
</file>

<file path=xl/sharedStrings.xml><?xml version="1.0" encoding="utf-8"?>
<sst xmlns="http://schemas.openxmlformats.org/spreadsheetml/2006/main" count="185" uniqueCount="66">
  <si>
    <t>סיכום מינואר עד מרץ 2026 – תבור</t>
  </si>
  <si>
    <t>חודש</t>
  </si>
  <si>
    <t>ימי עבודה</t>
  </si>
  <si>
    <t>ממוצע עובדים/יום</t>
  </si>
  <si>
    <t>שעות/חניך</t>
  </si>
  <si>
    <t>הכנסה (₪)</t>
  </si>
  <si>
    <t>תעריף ממוצע בפועל (₪/ש)</t>
  </si>
  <si>
    <t>ביצוע</t>
  </si>
  <si>
    <t>תקציב</t>
  </si>
  <si>
    <t>ינואר</t>
  </si>
  <si>
    <t>פברואר</t>
  </si>
  <si>
    <t>סיכום מצטבר מינואר עד מרץ</t>
  </si>
  <si>
    <t>ממוצע שעות/יום</t>
  </si>
  <si>
    <t>פער</t>
  </si>
  <si>
    <t>% פער</t>
  </si>
  <si>
    <t>הכנסה שאינה שעתית – מינואר עד מרץ</t>
  </si>
  <si>
    <t>לא נכלל בחישוב תעריף / שעות / הכנסה שעתית</t>
  </si>
  <si>
    <t>תאריך</t>
  </si>
  <si>
    <t>סוג</t>
  </si>
  <si>
    <t>עובדים</t>
  </si>
  <si>
    <t>סכום (₪)</t>
  </si>
  <si>
    <t>05-ינו</t>
  </si>
  <si>
    <t>תפוקה</t>
  </si>
  <si>
    <t>אין נתון</t>
  </si>
  <si>
    <t>06-ינו</t>
  </si>
  <si>
    <t>07-ינו</t>
  </si>
  <si>
    <t>08-ינו</t>
  </si>
  <si>
    <t>12-ינו</t>
  </si>
  <si>
    <t>26-ינו</t>
  </si>
  <si>
    <t>27-ינו</t>
  </si>
  <si>
    <t>02-פבר</t>
  </si>
  <si>
    <t>יומי</t>
  </si>
  <si>
    <t>09-פבר</t>
  </si>
  <si>
    <t>10-פבר</t>
  </si>
  <si>
    <t>11-פבר</t>
  </si>
  <si>
    <t>18-פבר</t>
  </si>
  <si>
    <t>סה"כ</t>
  </si>
  <si>
    <t>12 ימים</t>
  </si>
  <si>
    <t>ניתוח פערים – תבור – ינואר 2026</t>
  </si>
  <si>
    <t>סך שעות</t>
  </si>
  <si>
    <t>13-ינו</t>
  </si>
  <si>
    <t>14-ינו</t>
  </si>
  <si>
    <t>20-ינו</t>
  </si>
  <si>
    <t>21-ינו</t>
  </si>
  <si>
    <t>28-ינו</t>
  </si>
  <si>
    <t>19-ינו</t>
  </si>
  <si>
    <t>22-ינו</t>
  </si>
  <si>
    <t>25-ינו</t>
  </si>
  <si>
    <t>29-ינו</t>
  </si>
  <si>
    <t>סיכום חודשי</t>
  </si>
  <si>
    <t>הכנסה שאינה שעתית</t>
  </si>
  <si>
    <t>7 ימים</t>
  </si>
  <si>
    <t>ניתוח פערים – תבור – פברואר 2026</t>
  </si>
  <si>
    <t>17-פבר</t>
  </si>
  <si>
    <t>03-פבר</t>
  </si>
  <si>
    <t>04-פבר</t>
  </si>
  <si>
    <t>05-פבר</t>
  </si>
  <si>
    <t>12-פבר</t>
  </si>
  <si>
    <t>15-פבר</t>
  </si>
  <si>
    <t>16-פבר</t>
  </si>
  <si>
    <t>19-פבר</t>
  </si>
  <si>
    <t>23-פבר</t>
  </si>
  <si>
    <t>25-פבר</t>
  </si>
  <si>
    <t>26-פבר</t>
  </si>
  <si>
    <t>24-פבר</t>
  </si>
  <si>
    <t>5 ימים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</si>
</sst>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7" x14ac:knownFonts="1">
    <font>
      <sz val="11"/>
      <color theme="1"/>
      <name val="Arial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9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4B5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BF8F00"/>
      </patternFill>
    </fill>
    <fill>
      <patternFill patternType="solid">
        <fgColor rgb="FFFFF2CC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right" vertical="center"/>
    </xf>
    <xf numFmtId="3" fontId="3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4" fontId="3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right" vertical="center"/>
    </xf>
    <xf numFmtId="3" fontId="3" fillId="6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4" fontId="3" fillId="6" borderId="1" xfId="0" applyNumberFormat="1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center" vertical="center"/>
    </xf>
    <xf numFmtId="3" fontId="4" fillId="8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right" vertical="center"/>
    </xf>
    <xf numFmtId="3" fontId="2" fillId="7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49" fontId="4" fillId="9" borderId="1" xfId="0" applyNumberFormat="1" applyFont="1" applyFill="1" applyBorder="1" applyAlignment="1">
      <alignment horizontal="right" vertical="center"/>
    </xf>
    <xf numFmtId="3" fontId="4" fillId="9" borderId="1" xfId="0" applyNumberFormat="1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4" fontId="4" fillId="9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6" fillId="8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rightToLeft="1" tabSelected="1" topLeftCell="A9" workbookViewId="0">
      <selection activeCell="C26" sqref="C26:C29"/>
    </sheetView>
  </sheetViews>
  <sheetFormatPr defaultRowHeight="13.8" x14ac:dyDescent="0.25"/>
  <cols>
    <col min="1" max="1" width="16" customWidth="1"/>
    <col min="2" max="2" width="13" customWidth="1"/>
    <col min="3" max="4" width="16" customWidth="1"/>
    <col min="5" max="5" width="14" customWidth="1"/>
    <col min="6" max="6" width="15" customWidth="1"/>
    <col min="7" max="7" width="14" customWidth="1"/>
    <col min="8" max="9" width="15" customWidth="1"/>
    <col min="10" max="11" width="22" customWidth="1"/>
  </cols>
  <sheetData>
    <row r="1" spans="1:11" ht="28.05" customHeight="1" x14ac:dyDescent="0.25">
      <c r="A1" s="47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31.95" customHeight="1" x14ac:dyDescent="0.25">
      <c r="A2" s="45" t="s">
        <v>1</v>
      </c>
      <c r="B2" s="41" t="s">
        <v>2</v>
      </c>
      <c r="C2" s="42"/>
      <c r="D2" s="41" t="s">
        <v>3</v>
      </c>
      <c r="E2" s="42"/>
      <c r="F2" s="41" t="s">
        <v>4</v>
      </c>
      <c r="G2" s="42"/>
      <c r="H2" s="41" t="s">
        <v>5</v>
      </c>
      <c r="I2" s="42"/>
      <c r="J2" s="41" t="s">
        <v>6</v>
      </c>
      <c r="K2" s="42"/>
    </row>
    <row r="3" spans="1:11" ht="16.05" customHeight="1" x14ac:dyDescent="0.25">
      <c r="A3" s="42"/>
      <c r="B3" s="3" t="s">
        <v>7</v>
      </c>
      <c r="C3" s="4" t="s">
        <v>8</v>
      </c>
      <c r="D3" s="3" t="s">
        <v>7</v>
      </c>
      <c r="E3" s="4" t="s">
        <v>8</v>
      </c>
      <c r="F3" s="3" t="s">
        <v>7</v>
      </c>
      <c r="G3" s="4" t="s">
        <v>8</v>
      </c>
      <c r="H3" s="3" t="s">
        <v>7</v>
      </c>
      <c r="I3" s="4" t="s">
        <v>8</v>
      </c>
      <c r="J3" s="3" t="s">
        <v>7</v>
      </c>
      <c r="K3" s="4" t="s">
        <v>8</v>
      </c>
    </row>
    <row r="4" spans="1:11" x14ac:dyDescent="0.25">
      <c r="A4" s="5" t="s">
        <v>9</v>
      </c>
      <c r="B4" s="6">
        <v>15</v>
      </c>
      <c r="C4" s="7">
        <v>17</v>
      </c>
      <c r="D4" s="8">
        <v>25.733333333333331</v>
      </c>
      <c r="E4" s="9">
        <v>28.25</v>
      </c>
      <c r="F4" s="8">
        <v>4.5687991296264698</v>
      </c>
      <c r="G4" s="9">
        <v>5.25</v>
      </c>
      <c r="H4" s="6">
        <v>50740.500003406312</v>
      </c>
      <c r="I4" s="7">
        <v>83203.3125</v>
      </c>
      <c r="J4" s="10">
        <v>35</v>
      </c>
      <c r="K4" s="11">
        <v>33</v>
      </c>
    </row>
    <row r="5" spans="1:11" x14ac:dyDescent="0.25">
      <c r="A5" s="5" t="s">
        <v>10</v>
      </c>
      <c r="B5" s="6">
        <v>17</v>
      </c>
      <c r="C5" s="7">
        <v>16</v>
      </c>
      <c r="D5" s="8">
        <v>40.882352941176471</v>
      </c>
      <c r="E5" s="9">
        <v>28.25</v>
      </c>
      <c r="F5" s="8">
        <v>4.375423310474214</v>
      </c>
      <c r="G5" s="9">
        <v>5.25</v>
      </c>
      <c r="H5" s="6">
        <v>106283.33334064781</v>
      </c>
      <c r="I5" s="7">
        <v>78309</v>
      </c>
      <c r="J5" s="10">
        <v>35</v>
      </c>
      <c r="K5" s="11">
        <v>33</v>
      </c>
    </row>
    <row r="8" spans="1:11" ht="22.05" customHeight="1" x14ac:dyDescent="0.25">
      <c r="A8" s="44" t="s">
        <v>11</v>
      </c>
      <c r="B8" s="42"/>
      <c r="C8" s="42"/>
      <c r="D8" s="42"/>
      <c r="E8" s="42"/>
      <c r="F8" s="42"/>
      <c r="G8" s="42"/>
    </row>
    <row r="9" spans="1:11" ht="36" customHeight="1" x14ac:dyDescent="0.25">
      <c r="A9" s="12"/>
      <c r="B9" s="2" t="s">
        <v>2</v>
      </c>
      <c r="C9" s="2" t="s">
        <v>3</v>
      </c>
      <c r="D9" s="2" t="s">
        <v>12</v>
      </c>
      <c r="E9" s="2" t="s">
        <v>4</v>
      </c>
      <c r="F9" s="2" t="s">
        <v>5</v>
      </c>
      <c r="G9" s="2" t="s">
        <v>6</v>
      </c>
    </row>
    <row r="10" spans="1:11" x14ac:dyDescent="0.25">
      <c r="A10" s="13" t="s">
        <v>7</v>
      </c>
      <c r="B10" s="14">
        <v>32</v>
      </c>
      <c r="C10" s="15">
        <v>33.78125</v>
      </c>
      <c r="D10" s="15">
        <v>140.1998512000483</v>
      </c>
      <c r="E10" s="15">
        <v>4.466068225701834</v>
      </c>
      <c r="F10" s="14">
        <v>157023.83334405409</v>
      </c>
      <c r="G10" s="16">
        <v>35</v>
      </c>
    </row>
    <row r="11" spans="1:11" x14ac:dyDescent="0.25">
      <c r="A11" s="17" t="s">
        <v>8</v>
      </c>
      <c r="B11" s="18">
        <v>39</v>
      </c>
      <c r="C11" s="19">
        <v>28.25</v>
      </c>
      <c r="D11" s="19">
        <v>148.3125</v>
      </c>
      <c r="E11" s="19">
        <v>5.25</v>
      </c>
      <c r="F11" s="18">
        <v>190878.1875</v>
      </c>
      <c r="G11" s="20">
        <v>33</v>
      </c>
    </row>
    <row r="13" spans="1:11" x14ac:dyDescent="0.25">
      <c r="A13" s="21" t="s">
        <v>13</v>
      </c>
      <c r="B13" s="22">
        <f t="shared" ref="B13:G13" si="0">B10-B11</f>
        <v>-7</v>
      </c>
      <c r="C13" s="23">
        <f t="shared" si="0"/>
        <v>5.53125</v>
      </c>
      <c r="D13" s="23">
        <f t="shared" si="0"/>
        <v>-8.1126487999516996</v>
      </c>
      <c r="E13" s="23">
        <f t="shared" si="0"/>
        <v>-0.78393177429816596</v>
      </c>
      <c r="F13" s="22">
        <f t="shared" si="0"/>
        <v>-33854.354155945912</v>
      </c>
      <c r="G13" s="24">
        <f t="shared" si="0"/>
        <v>2</v>
      </c>
    </row>
    <row r="14" spans="1:11" x14ac:dyDescent="0.25">
      <c r="A14" s="21" t="s">
        <v>14</v>
      </c>
      <c r="B14" s="25">
        <f t="shared" ref="B14:G14" si="1">IF(B11=0,"",(B10-B11)/B11)</f>
        <v>-0.17948717948717949</v>
      </c>
      <c r="C14" s="25">
        <f t="shared" si="1"/>
        <v>0.19579646017699115</v>
      </c>
      <c r="D14" s="25">
        <f t="shared" si="1"/>
        <v>-5.4699696923399578E-2</v>
      </c>
      <c r="E14" s="25">
        <f t="shared" si="1"/>
        <v>-0.14932033796155542</v>
      </c>
      <c r="F14" s="25">
        <f t="shared" si="1"/>
        <v>-0.17736104161166091</v>
      </c>
      <c r="G14" s="25">
        <f t="shared" si="1"/>
        <v>6.0606060606060608E-2</v>
      </c>
    </row>
    <row r="16" spans="1:11" ht="19.95" customHeight="1" x14ac:dyDescent="0.25">
      <c r="A16" s="46" t="s">
        <v>15</v>
      </c>
      <c r="B16" s="42"/>
      <c r="C16" s="42"/>
      <c r="D16" s="42"/>
    </row>
    <row r="17" spans="1:4" ht="13.95" customHeight="1" x14ac:dyDescent="0.25">
      <c r="A17" s="43" t="s">
        <v>16</v>
      </c>
      <c r="B17" s="42"/>
      <c r="C17" s="42"/>
      <c r="D17" s="42"/>
    </row>
    <row r="18" spans="1:4" ht="16.05" customHeight="1" x14ac:dyDescent="0.25">
      <c r="A18" s="26" t="s">
        <v>17</v>
      </c>
      <c r="B18" s="26" t="s">
        <v>18</v>
      </c>
      <c r="C18" s="26" t="s">
        <v>19</v>
      </c>
      <c r="D18" s="26" t="s">
        <v>20</v>
      </c>
    </row>
    <row r="19" spans="1:4" x14ac:dyDescent="0.25">
      <c r="A19" s="27" t="s">
        <v>21</v>
      </c>
      <c r="B19" s="28" t="s">
        <v>22</v>
      </c>
      <c r="C19" s="28" t="s">
        <v>23</v>
      </c>
      <c r="D19" s="29">
        <v>6700</v>
      </c>
    </row>
    <row r="20" spans="1:4" x14ac:dyDescent="0.25">
      <c r="A20" s="27" t="s">
        <v>24</v>
      </c>
      <c r="B20" s="28" t="s">
        <v>22</v>
      </c>
      <c r="C20" s="28" t="s">
        <v>23</v>
      </c>
      <c r="D20" s="29">
        <v>6250</v>
      </c>
    </row>
    <row r="21" spans="1:4" x14ac:dyDescent="0.25">
      <c r="A21" s="27" t="s">
        <v>25</v>
      </c>
      <c r="B21" s="28" t="s">
        <v>22</v>
      </c>
      <c r="C21" s="28" t="s">
        <v>23</v>
      </c>
      <c r="D21" s="29">
        <v>6350</v>
      </c>
    </row>
    <row r="22" spans="1:4" x14ac:dyDescent="0.25">
      <c r="A22" s="27" t="s">
        <v>26</v>
      </c>
      <c r="B22" s="28" t="s">
        <v>22</v>
      </c>
      <c r="C22" s="28" t="s">
        <v>23</v>
      </c>
      <c r="D22" s="29">
        <v>1400</v>
      </c>
    </row>
    <row r="23" spans="1:4" x14ac:dyDescent="0.25">
      <c r="A23" s="27" t="s">
        <v>27</v>
      </c>
      <c r="B23" s="28" t="s">
        <v>22</v>
      </c>
      <c r="C23" s="28" t="s">
        <v>23</v>
      </c>
      <c r="D23" s="29">
        <v>3000</v>
      </c>
    </row>
    <row r="24" spans="1:4" x14ac:dyDescent="0.25">
      <c r="A24" s="27" t="s">
        <v>28</v>
      </c>
      <c r="B24" s="28" t="s">
        <v>22</v>
      </c>
      <c r="C24" s="28" t="s">
        <v>23</v>
      </c>
      <c r="D24" s="29">
        <v>3450</v>
      </c>
    </row>
    <row r="25" spans="1:4" x14ac:dyDescent="0.25">
      <c r="A25" s="27" t="s">
        <v>29</v>
      </c>
      <c r="B25" s="28" t="s">
        <v>22</v>
      </c>
      <c r="C25" s="28" t="s">
        <v>23</v>
      </c>
      <c r="D25" s="29">
        <v>3680</v>
      </c>
    </row>
    <row r="26" spans="1:4" x14ac:dyDescent="0.25">
      <c r="A26" s="27" t="s">
        <v>30</v>
      </c>
      <c r="B26" s="28" t="s">
        <v>31</v>
      </c>
      <c r="C26" s="29">
        <v>11</v>
      </c>
      <c r="D26" s="29">
        <v>1980</v>
      </c>
    </row>
    <row r="27" spans="1:4" x14ac:dyDescent="0.25">
      <c r="A27" s="27" t="s">
        <v>32</v>
      </c>
      <c r="B27" s="28" t="s">
        <v>31</v>
      </c>
      <c r="C27" s="29">
        <v>6</v>
      </c>
      <c r="D27" s="29">
        <v>1080</v>
      </c>
    </row>
    <row r="28" spans="1:4" x14ac:dyDescent="0.25">
      <c r="A28" s="27" t="s">
        <v>33</v>
      </c>
      <c r="B28" s="28" t="s">
        <v>31</v>
      </c>
      <c r="C28" s="29">
        <v>6</v>
      </c>
      <c r="D28" s="29">
        <v>1080</v>
      </c>
    </row>
    <row r="29" spans="1:4" x14ac:dyDescent="0.25">
      <c r="A29" s="27" t="s">
        <v>34</v>
      </c>
      <c r="B29" s="28" t="s">
        <v>31</v>
      </c>
      <c r="C29" s="29">
        <v>6</v>
      </c>
      <c r="D29" s="29">
        <v>1080</v>
      </c>
    </row>
    <row r="30" spans="1:4" x14ac:dyDescent="0.25">
      <c r="A30" s="27" t="s">
        <v>35</v>
      </c>
      <c r="B30" s="28" t="s">
        <v>22</v>
      </c>
      <c r="C30" s="29" t="s">
        <v>23</v>
      </c>
      <c r="D30" s="29">
        <v>7410</v>
      </c>
    </row>
    <row r="31" spans="1:4" x14ac:dyDescent="0.25">
      <c r="A31" s="30" t="s">
        <v>36</v>
      </c>
      <c r="B31" s="26" t="s">
        <v>37</v>
      </c>
      <c r="C31" s="26"/>
      <c r="D31" s="31">
        <v>43460</v>
      </c>
    </row>
  </sheetData>
  <mergeCells count="10">
    <mergeCell ref="J2:K2"/>
    <mergeCell ref="A2:A3"/>
    <mergeCell ref="A16:D16"/>
    <mergeCell ref="A1:K1"/>
    <mergeCell ref="F2:G2"/>
    <mergeCell ref="A17:D17"/>
    <mergeCell ref="B2:C2"/>
    <mergeCell ref="H2:I2"/>
    <mergeCell ref="D2:E2"/>
    <mergeCell ref="A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rightToLeft="1" workbookViewId="0"/>
  </sheetViews>
  <sheetFormatPr defaultRowHeight="13.8" x14ac:dyDescent="0.25"/>
  <cols>
    <col min="1" max="1" width="13" customWidth="1"/>
    <col min="2" max="2" width="12" customWidth="1"/>
    <col min="3" max="3" width="18" customWidth="1"/>
    <col min="4" max="4" width="16" customWidth="1"/>
    <col min="5" max="5" width="14" customWidth="1"/>
    <col min="6" max="6" width="22" customWidth="1"/>
    <col min="7" max="7" width="24" customWidth="1"/>
  </cols>
  <sheetData>
    <row r="1" spans="1:7" ht="24" customHeight="1" x14ac:dyDescent="0.25">
      <c r="A1" s="47" t="s">
        <v>38</v>
      </c>
      <c r="B1" s="42"/>
      <c r="C1" s="42"/>
      <c r="D1" s="42"/>
      <c r="E1" s="42"/>
      <c r="F1" s="42"/>
      <c r="G1" s="42"/>
    </row>
    <row r="2" spans="1:7" ht="18" customHeight="1" x14ac:dyDescent="0.25">
      <c r="A2" s="1" t="s">
        <v>17</v>
      </c>
      <c r="B2" s="1" t="s">
        <v>19</v>
      </c>
      <c r="C2" s="1" t="s">
        <v>39</v>
      </c>
      <c r="D2" s="1" t="s">
        <v>4</v>
      </c>
      <c r="E2" s="1" t="s">
        <v>5</v>
      </c>
      <c r="F2" s="1" t="s">
        <v>6</v>
      </c>
    </row>
    <row r="3" spans="1:7" x14ac:dyDescent="0.25">
      <c r="A3" s="32" t="s">
        <v>24</v>
      </c>
      <c r="B3" s="33">
        <v>2</v>
      </c>
      <c r="C3" s="34">
        <v>12.000000001629809</v>
      </c>
      <c r="D3" s="34">
        <v>6.0000000008149073</v>
      </c>
      <c r="E3" s="33">
        <v>420.00000005704351</v>
      </c>
      <c r="F3" s="35">
        <v>35</v>
      </c>
    </row>
    <row r="4" spans="1:7" x14ac:dyDescent="0.25">
      <c r="A4" s="36" t="s">
        <v>25</v>
      </c>
      <c r="B4" s="37">
        <v>4</v>
      </c>
      <c r="C4" s="38">
        <v>20</v>
      </c>
      <c r="D4" s="38">
        <v>5</v>
      </c>
      <c r="E4" s="37">
        <v>700</v>
      </c>
      <c r="F4" s="39">
        <v>35</v>
      </c>
    </row>
    <row r="5" spans="1:7" x14ac:dyDescent="0.25">
      <c r="A5" s="32" t="s">
        <v>40</v>
      </c>
      <c r="B5" s="33">
        <v>2</v>
      </c>
      <c r="C5" s="34">
        <v>11.33333333453629</v>
      </c>
      <c r="D5" s="34">
        <v>5.6666666672681458</v>
      </c>
      <c r="E5" s="33">
        <v>396.66666670877021</v>
      </c>
      <c r="F5" s="35">
        <v>35</v>
      </c>
    </row>
    <row r="6" spans="1:7" x14ac:dyDescent="0.25">
      <c r="A6" s="36" t="s">
        <v>41</v>
      </c>
      <c r="B6" s="37">
        <v>4</v>
      </c>
      <c r="C6" s="38">
        <v>19.99999999511056</v>
      </c>
      <c r="D6" s="38">
        <v>4.9999999987776391</v>
      </c>
      <c r="E6" s="37">
        <v>699.99999982886948</v>
      </c>
      <c r="F6" s="39">
        <v>35</v>
      </c>
    </row>
    <row r="7" spans="1:7" x14ac:dyDescent="0.25">
      <c r="A7" s="32" t="s">
        <v>42</v>
      </c>
      <c r="B7" s="33">
        <v>23</v>
      </c>
      <c r="C7" s="34">
        <v>107.8333333483897</v>
      </c>
      <c r="D7" s="34">
        <v>4.6884057977560749</v>
      </c>
      <c r="E7" s="33">
        <v>3774.16666719364</v>
      </c>
      <c r="F7" s="35">
        <v>35</v>
      </c>
    </row>
    <row r="8" spans="1:7" x14ac:dyDescent="0.25">
      <c r="A8" s="36" t="s">
        <v>43</v>
      </c>
      <c r="B8" s="37">
        <v>39</v>
      </c>
      <c r="C8" s="38">
        <v>172.41666667896791</v>
      </c>
      <c r="D8" s="38">
        <v>4.4209401712555856</v>
      </c>
      <c r="E8" s="37">
        <v>6034.583333763876</v>
      </c>
      <c r="F8" s="39">
        <v>35</v>
      </c>
    </row>
    <row r="9" spans="1:7" x14ac:dyDescent="0.25">
      <c r="A9" s="32" t="s">
        <v>29</v>
      </c>
      <c r="B9" s="33">
        <v>70</v>
      </c>
      <c r="C9" s="34">
        <v>142.26190476299129</v>
      </c>
      <c r="D9" s="34">
        <v>2.03231292518559</v>
      </c>
      <c r="E9" s="33">
        <v>4979.1666667046957</v>
      </c>
      <c r="F9" s="35">
        <v>34.999999999999993</v>
      </c>
    </row>
    <row r="10" spans="1:7" x14ac:dyDescent="0.25">
      <c r="A10" s="36" t="s">
        <v>44</v>
      </c>
      <c r="B10" s="37">
        <v>28</v>
      </c>
      <c r="C10" s="38">
        <v>111.9999999998836</v>
      </c>
      <c r="D10" s="38">
        <v>3.999999999995842</v>
      </c>
      <c r="E10" s="37">
        <v>3919.999999995925</v>
      </c>
      <c r="F10" s="39">
        <v>35</v>
      </c>
    </row>
    <row r="11" spans="1:7" x14ac:dyDescent="0.25">
      <c r="A11" s="32" t="s">
        <v>45</v>
      </c>
      <c r="B11" s="33">
        <v>4</v>
      </c>
      <c r="C11" s="34">
        <v>29</v>
      </c>
      <c r="D11" s="34">
        <v>7.25</v>
      </c>
      <c r="E11" s="33">
        <v>1015</v>
      </c>
      <c r="F11" s="35">
        <v>35</v>
      </c>
    </row>
    <row r="12" spans="1:7" x14ac:dyDescent="0.25">
      <c r="A12" s="36" t="s">
        <v>27</v>
      </c>
      <c r="B12" s="37">
        <v>19</v>
      </c>
      <c r="C12" s="38">
        <v>78.750000008847564</v>
      </c>
      <c r="D12" s="38">
        <v>4.1447368425709241</v>
      </c>
      <c r="E12" s="37">
        <v>2756.2500003096652</v>
      </c>
      <c r="F12" s="39">
        <v>35</v>
      </c>
    </row>
    <row r="13" spans="1:7" x14ac:dyDescent="0.25">
      <c r="A13" s="32" t="s">
        <v>46</v>
      </c>
      <c r="B13" s="33">
        <v>50</v>
      </c>
      <c r="C13" s="34">
        <v>237.50000004237521</v>
      </c>
      <c r="D13" s="34">
        <v>4.7500000008475034</v>
      </c>
      <c r="E13" s="33">
        <v>8312.5000014831312</v>
      </c>
      <c r="F13" s="35">
        <v>35</v>
      </c>
    </row>
    <row r="14" spans="1:7" x14ac:dyDescent="0.25">
      <c r="A14" s="36" t="s">
        <v>47</v>
      </c>
      <c r="B14" s="37">
        <v>51</v>
      </c>
      <c r="C14" s="38">
        <v>188.58333334175401</v>
      </c>
      <c r="D14" s="38">
        <v>3.6977124184657661</v>
      </c>
      <c r="E14" s="37">
        <v>6600.4166669613905</v>
      </c>
      <c r="F14" s="39">
        <v>35</v>
      </c>
    </row>
    <row r="15" spans="1:7" x14ac:dyDescent="0.25">
      <c r="A15" s="32" t="s">
        <v>28</v>
      </c>
      <c r="B15" s="33">
        <v>55</v>
      </c>
      <c r="C15" s="34">
        <v>163.05000001059381</v>
      </c>
      <c r="D15" s="34">
        <v>2.9645454547380692</v>
      </c>
      <c r="E15" s="33">
        <v>5706.7500003707828</v>
      </c>
      <c r="F15" s="35">
        <v>35</v>
      </c>
    </row>
    <row r="16" spans="1:7" x14ac:dyDescent="0.25">
      <c r="A16" s="36" t="s">
        <v>26</v>
      </c>
      <c r="B16" s="37">
        <v>20</v>
      </c>
      <c r="C16" s="38">
        <v>85</v>
      </c>
      <c r="D16" s="38">
        <v>4.25</v>
      </c>
      <c r="E16" s="37">
        <v>2975</v>
      </c>
      <c r="F16" s="39">
        <v>35</v>
      </c>
    </row>
    <row r="17" spans="1:7" x14ac:dyDescent="0.25">
      <c r="A17" s="32" t="s">
        <v>48</v>
      </c>
      <c r="B17" s="33">
        <v>15</v>
      </c>
      <c r="C17" s="34">
        <v>70.000000000814907</v>
      </c>
      <c r="D17" s="34">
        <v>4.6666666667209942</v>
      </c>
      <c r="E17" s="33">
        <v>2450.0000000285222</v>
      </c>
      <c r="F17" s="35">
        <v>35</v>
      </c>
    </row>
    <row r="20" spans="1:7" ht="18" customHeight="1" x14ac:dyDescent="0.25">
      <c r="A20" s="44" t="s">
        <v>49</v>
      </c>
      <c r="B20" s="42"/>
      <c r="C20" s="42"/>
      <c r="D20" s="42"/>
      <c r="E20" s="42"/>
      <c r="F20" s="42"/>
      <c r="G20" s="42"/>
    </row>
    <row r="21" spans="1:7" ht="31.95" customHeight="1" x14ac:dyDescent="0.25">
      <c r="A21" s="40"/>
      <c r="B21" s="2" t="s">
        <v>2</v>
      </c>
      <c r="C21" s="2" t="s">
        <v>3</v>
      </c>
      <c r="D21" s="2" t="s">
        <v>12</v>
      </c>
      <c r="E21" s="2" t="s">
        <v>4</v>
      </c>
      <c r="F21" s="2" t="s">
        <v>5</v>
      </c>
      <c r="G21" s="2" t="s">
        <v>6</v>
      </c>
    </row>
    <row r="22" spans="1:7" x14ac:dyDescent="0.25">
      <c r="A22" s="13" t="s">
        <v>7</v>
      </c>
      <c r="B22" s="14">
        <v>15</v>
      </c>
      <c r="C22" s="15">
        <v>25.733333333333331</v>
      </c>
      <c r="D22" s="15">
        <v>96.648571435059651</v>
      </c>
      <c r="E22" s="15">
        <v>4.5687991296264698</v>
      </c>
      <c r="F22" s="14">
        <v>50740.500003406312</v>
      </c>
      <c r="G22" s="16">
        <v>35</v>
      </c>
    </row>
    <row r="23" spans="1:7" x14ac:dyDescent="0.25">
      <c r="A23" s="17" t="s">
        <v>8</v>
      </c>
      <c r="B23" s="18">
        <v>17</v>
      </c>
      <c r="C23" s="19">
        <v>28.25</v>
      </c>
      <c r="D23" s="19">
        <v>148.3125</v>
      </c>
      <c r="E23" s="19">
        <v>5.25</v>
      </c>
      <c r="F23" s="18">
        <v>83203.3125</v>
      </c>
      <c r="G23" s="20">
        <v>33</v>
      </c>
    </row>
    <row r="25" spans="1:7" x14ac:dyDescent="0.25">
      <c r="A25" s="21" t="s">
        <v>13</v>
      </c>
      <c r="B25" s="22">
        <f t="shared" ref="B25:G25" si="0">B22-B23</f>
        <v>-2</v>
      </c>
      <c r="C25" s="23">
        <f t="shared" si="0"/>
        <v>-2.5166666666666693</v>
      </c>
      <c r="D25" s="23">
        <f t="shared" si="0"/>
        <v>-51.663928564940349</v>
      </c>
      <c r="E25" s="23">
        <f t="shared" si="0"/>
        <v>-0.68120087037353017</v>
      </c>
      <c r="F25" s="22">
        <f t="shared" si="0"/>
        <v>-32462.812496593688</v>
      </c>
      <c r="G25" s="24">
        <f t="shared" si="0"/>
        <v>2</v>
      </c>
    </row>
    <row r="26" spans="1:7" x14ac:dyDescent="0.25">
      <c r="A26" s="21" t="s">
        <v>14</v>
      </c>
      <c r="B26" s="25">
        <f t="shared" ref="B26:G26" si="1">IF(B23=0,"",(B22-B23)/B23)</f>
        <v>-0.11764705882352941</v>
      </c>
      <c r="C26" s="25">
        <f t="shared" si="1"/>
        <v>-8.908554572271396E-2</v>
      </c>
      <c r="D26" s="25">
        <f t="shared" si="1"/>
        <v>-0.34834507249854429</v>
      </c>
      <c r="E26" s="25">
        <f t="shared" si="1"/>
        <v>-0.12975254673781528</v>
      </c>
      <c r="F26" s="25">
        <f t="shared" si="1"/>
        <v>-0.39016250100131156</v>
      </c>
      <c r="G26" s="25">
        <f t="shared" si="1"/>
        <v>6.0606060606060608E-2</v>
      </c>
    </row>
    <row r="28" spans="1:7" ht="19.95" customHeight="1" x14ac:dyDescent="0.25">
      <c r="A28" s="46" t="s">
        <v>50</v>
      </c>
      <c r="B28" s="42"/>
      <c r="C28" s="42"/>
      <c r="D28" s="42"/>
    </row>
    <row r="29" spans="1:7" ht="13.95" customHeight="1" x14ac:dyDescent="0.25">
      <c r="A29" s="43" t="s">
        <v>16</v>
      </c>
      <c r="B29" s="42"/>
      <c r="C29" s="42"/>
      <c r="D29" s="42"/>
    </row>
    <row r="30" spans="1:7" ht="16.05" customHeight="1" x14ac:dyDescent="0.25">
      <c r="A30" s="26" t="s">
        <v>17</v>
      </c>
      <c r="B30" s="26" t="s">
        <v>18</v>
      </c>
      <c r="C30" s="26" t="s">
        <v>19</v>
      </c>
      <c r="D30" s="26" t="s">
        <v>20</v>
      </c>
    </row>
    <row r="31" spans="1:7" x14ac:dyDescent="0.25">
      <c r="A31" s="27" t="s">
        <v>21</v>
      </c>
      <c r="B31" s="28" t="s">
        <v>22</v>
      </c>
      <c r="C31" s="28" t="s">
        <v>23</v>
      </c>
      <c r="D31" s="29">
        <v>6700</v>
      </c>
    </row>
    <row r="32" spans="1:7" x14ac:dyDescent="0.25">
      <c r="A32" s="27" t="s">
        <v>24</v>
      </c>
      <c r="B32" s="28" t="s">
        <v>22</v>
      </c>
      <c r="C32" s="28" t="s">
        <v>23</v>
      </c>
      <c r="D32" s="29">
        <v>6250</v>
      </c>
    </row>
    <row r="33" spans="1:4" x14ac:dyDescent="0.25">
      <c r="A33" s="27" t="s">
        <v>25</v>
      </c>
      <c r="B33" s="28" t="s">
        <v>22</v>
      </c>
      <c r="C33" s="28" t="s">
        <v>23</v>
      </c>
      <c r="D33" s="29">
        <v>6350</v>
      </c>
    </row>
    <row r="34" spans="1:4" x14ac:dyDescent="0.25">
      <c r="A34" s="27" t="s">
        <v>26</v>
      </c>
      <c r="B34" s="28" t="s">
        <v>22</v>
      </c>
      <c r="C34" s="28" t="s">
        <v>23</v>
      </c>
      <c r="D34" s="29">
        <v>1400</v>
      </c>
    </row>
    <row r="35" spans="1:4" x14ac:dyDescent="0.25">
      <c r="A35" s="27" t="s">
        <v>27</v>
      </c>
      <c r="B35" s="28" t="s">
        <v>22</v>
      </c>
      <c r="C35" s="28" t="s">
        <v>23</v>
      </c>
      <c r="D35" s="29">
        <v>3000</v>
      </c>
    </row>
    <row r="36" spans="1:4" x14ac:dyDescent="0.25">
      <c r="A36" s="27" t="s">
        <v>28</v>
      </c>
      <c r="B36" s="28" t="s">
        <v>22</v>
      </c>
      <c r="C36" s="28" t="s">
        <v>23</v>
      </c>
      <c r="D36" s="29">
        <v>3450</v>
      </c>
    </row>
    <row r="37" spans="1:4" x14ac:dyDescent="0.25">
      <c r="A37" s="27" t="s">
        <v>29</v>
      </c>
      <c r="B37" s="28" t="s">
        <v>22</v>
      </c>
      <c r="C37" s="28" t="s">
        <v>23</v>
      </c>
      <c r="D37" s="29">
        <v>3680</v>
      </c>
    </row>
    <row r="38" spans="1:4" x14ac:dyDescent="0.25">
      <c r="A38" s="30" t="s">
        <v>36</v>
      </c>
      <c r="B38" s="26" t="s">
        <v>51</v>
      </c>
      <c r="C38" s="26"/>
      <c r="D38" s="31">
        <v>30830</v>
      </c>
    </row>
  </sheetData>
  <mergeCells count="4">
    <mergeCell ref="A20:G20"/>
    <mergeCell ref="A28:D28"/>
    <mergeCell ref="A1:G1"/>
    <mergeCell ref="A29:D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"/>
  <sheetViews>
    <sheetView rightToLeft="1" workbookViewId="0"/>
  </sheetViews>
  <sheetFormatPr defaultRowHeight="13.8" x14ac:dyDescent="0.25"/>
  <cols>
    <col min="1" max="1" width="13" customWidth="1"/>
    <col min="2" max="2" width="12" customWidth="1"/>
    <col min="3" max="3" width="18" customWidth="1"/>
    <col min="4" max="4" width="16" customWidth="1"/>
    <col min="5" max="5" width="14" customWidth="1"/>
    <col min="6" max="6" width="22" customWidth="1"/>
    <col min="7" max="7" width="24" customWidth="1"/>
  </cols>
  <sheetData>
    <row r="1" spans="1:7" ht="24" customHeight="1" x14ac:dyDescent="0.25">
      <c r="A1" s="47" t="s">
        <v>52</v>
      </c>
      <c r="B1" s="42"/>
      <c r="C1" s="42"/>
      <c r="D1" s="42"/>
      <c r="E1" s="42"/>
      <c r="F1" s="42"/>
      <c r="G1" s="42"/>
    </row>
    <row r="2" spans="1:7" ht="18" customHeight="1" x14ac:dyDescent="0.25">
      <c r="A2" s="1" t="s">
        <v>17</v>
      </c>
      <c r="B2" s="1" t="s">
        <v>19</v>
      </c>
      <c r="C2" s="1" t="s">
        <v>39</v>
      </c>
      <c r="D2" s="1" t="s">
        <v>4</v>
      </c>
      <c r="E2" s="1" t="s">
        <v>5</v>
      </c>
      <c r="F2" s="1" t="s">
        <v>6</v>
      </c>
    </row>
    <row r="3" spans="1:7" x14ac:dyDescent="0.25">
      <c r="A3" s="32" t="s">
        <v>53</v>
      </c>
      <c r="B3" s="33">
        <v>47</v>
      </c>
      <c r="C3" s="34">
        <v>219.5833333256887</v>
      </c>
      <c r="D3" s="34">
        <v>4.6719858154401859</v>
      </c>
      <c r="E3" s="33">
        <v>7685.4166663991055</v>
      </c>
      <c r="F3" s="35">
        <v>35</v>
      </c>
    </row>
    <row r="4" spans="1:7" x14ac:dyDescent="0.25">
      <c r="A4" s="36" t="s">
        <v>35</v>
      </c>
      <c r="B4" s="37">
        <v>14</v>
      </c>
      <c r="C4" s="38">
        <v>67.833333337795921</v>
      </c>
      <c r="D4" s="38">
        <v>4.8452380955568506</v>
      </c>
      <c r="E4" s="37">
        <v>2374.1666668228572</v>
      </c>
      <c r="F4" s="39">
        <v>35</v>
      </c>
    </row>
    <row r="5" spans="1:7" x14ac:dyDescent="0.25">
      <c r="A5" s="32" t="s">
        <v>54</v>
      </c>
      <c r="B5" s="33">
        <v>2</v>
      </c>
      <c r="C5" s="34">
        <v>11.5</v>
      </c>
      <c r="D5" s="34">
        <v>5.75</v>
      </c>
      <c r="E5" s="33">
        <v>402.5</v>
      </c>
      <c r="F5" s="35">
        <v>35</v>
      </c>
    </row>
    <row r="6" spans="1:7" x14ac:dyDescent="0.25">
      <c r="A6" s="36" t="s">
        <v>55</v>
      </c>
      <c r="B6" s="37">
        <v>50</v>
      </c>
      <c r="C6" s="38">
        <v>153.33333334355851</v>
      </c>
      <c r="D6" s="38">
        <v>3.06666666687117</v>
      </c>
      <c r="E6" s="37">
        <v>5366.6666670245468</v>
      </c>
      <c r="F6" s="39">
        <v>35</v>
      </c>
    </row>
    <row r="7" spans="1:7" x14ac:dyDescent="0.25">
      <c r="A7" s="32" t="s">
        <v>33</v>
      </c>
      <c r="B7" s="33">
        <v>38</v>
      </c>
      <c r="C7" s="34">
        <v>184.7500000342261</v>
      </c>
      <c r="D7" s="34">
        <v>4.861842106163845</v>
      </c>
      <c r="E7" s="33">
        <v>6466.2500011979137</v>
      </c>
      <c r="F7" s="35">
        <v>35</v>
      </c>
    </row>
    <row r="8" spans="1:7" x14ac:dyDescent="0.25">
      <c r="A8" s="36" t="s">
        <v>34</v>
      </c>
      <c r="B8" s="37">
        <v>39</v>
      </c>
      <c r="C8" s="38">
        <v>139.24999999272401</v>
      </c>
      <c r="D8" s="38">
        <v>3.5705128203262571</v>
      </c>
      <c r="E8" s="37">
        <v>4873.7499997453406</v>
      </c>
      <c r="F8" s="39">
        <v>35</v>
      </c>
    </row>
    <row r="9" spans="1:7" x14ac:dyDescent="0.25">
      <c r="A9" s="32" t="s">
        <v>30</v>
      </c>
      <c r="B9" s="33">
        <v>41</v>
      </c>
      <c r="C9" s="34">
        <v>186.7499999779393</v>
      </c>
      <c r="D9" s="34">
        <v>4.554878048242422</v>
      </c>
      <c r="E9" s="33">
        <v>6536.2499992278754</v>
      </c>
      <c r="F9" s="35">
        <v>35</v>
      </c>
    </row>
    <row r="10" spans="1:7" x14ac:dyDescent="0.25">
      <c r="A10" s="36" t="s">
        <v>56</v>
      </c>
      <c r="B10" s="37">
        <v>46</v>
      </c>
      <c r="C10" s="38">
        <v>158.50000003585589</v>
      </c>
      <c r="D10" s="38">
        <v>3.4456521746925199</v>
      </c>
      <c r="E10" s="37">
        <v>5547.5000012549572</v>
      </c>
      <c r="F10" s="39">
        <v>35</v>
      </c>
    </row>
    <row r="11" spans="1:7" x14ac:dyDescent="0.25">
      <c r="A11" s="32" t="s">
        <v>32</v>
      </c>
      <c r="B11" s="33">
        <v>42</v>
      </c>
      <c r="C11" s="34">
        <v>196.66666663548679</v>
      </c>
      <c r="D11" s="34">
        <v>4.6825396817973042</v>
      </c>
      <c r="E11" s="33">
        <v>6883.3333322420367</v>
      </c>
      <c r="F11" s="35">
        <v>35</v>
      </c>
    </row>
    <row r="12" spans="1:7" x14ac:dyDescent="0.25">
      <c r="A12" s="36" t="s">
        <v>57</v>
      </c>
      <c r="B12" s="37">
        <v>27</v>
      </c>
      <c r="C12" s="38">
        <v>119.33333334897181</v>
      </c>
      <c r="D12" s="38">
        <v>4.4197530869989556</v>
      </c>
      <c r="E12" s="37">
        <v>4176.6666672140127</v>
      </c>
      <c r="F12" s="39">
        <v>35</v>
      </c>
    </row>
    <row r="13" spans="1:7" x14ac:dyDescent="0.25">
      <c r="A13" s="32" t="s">
        <v>58</v>
      </c>
      <c r="B13" s="33">
        <v>16</v>
      </c>
      <c r="C13" s="34">
        <v>49.333333336748183</v>
      </c>
      <c r="D13" s="34">
        <v>3.083333333546761</v>
      </c>
      <c r="E13" s="33">
        <v>1726.6666667861859</v>
      </c>
      <c r="F13" s="35">
        <v>35</v>
      </c>
    </row>
    <row r="14" spans="1:7" x14ac:dyDescent="0.25">
      <c r="A14" s="36" t="s">
        <v>59</v>
      </c>
      <c r="B14" s="37">
        <v>54</v>
      </c>
      <c r="C14" s="38">
        <v>256.75000006245682</v>
      </c>
      <c r="D14" s="38">
        <v>4.754629630786237</v>
      </c>
      <c r="E14" s="37">
        <v>8986.2500021859887</v>
      </c>
      <c r="F14" s="39">
        <v>35</v>
      </c>
    </row>
    <row r="15" spans="1:7" x14ac:dyDescent="0.25">
      <c r="A15" s="32" t="s">
        <v>60</v>
      </c>
      <c r="B15" s="33">
        <v>93</v>
      </c>
      <c r="C15" s="34">
        <v>454.41666673938738</v>
      </c>
      <c r="D15" s="34">
        <v>4.8862007176278217</v>
      </c>
      <c r="E15" s="33">
        <v>15904.58333587856</v>
      </c>
      <c r="F15" s="35">
        <v>35</v>
      </c>
    </row>
    <row r="16" spans="1:7" x14ac:dyDescent="0.25">
      <c r="A16" s="36" t="s">
        <v>61</v>
      </c>
      <c r="B16" s="37">
        <v>53</v>
      </c>
      <c r="C16" s="38">
        <v>233.91666667076061</v>
      </c>
      <c r="D16" s="38">
        <v>4.4135220126558607</v>
      </c>
      <c r="E16" s="37">
        <v>8187.0833334766212</v>
      </c>
      <c r="F16" s="39">
        <v>35</v>
      </c>
    </row>
    <row r="17" spans="1:7" x14ac:dyDescent="0.25">
      <c r="A17" s="32" t="s">
        <v>62</v>
      </c>
      <c r="B17" s="33">
        <v>58</v>
      </c>
      <c r="C17" s="34">
        <v>293.0000000220025</v>
      </c>
      <c r="D17" s="34">
        <v>5.0517241383103881</v>
      </c>
      <c r="E17" s="33">
        <v>10255.000000770089</v>
      </c>
      <c r="F17" s="35">
        <v>35</v>
      </c>
    </row>
    <row r="18" spans="1:7" x14ac:dyDescent="0.25">
      <c r="A18" s="36" t="s">
        <v>63</v>
      </c>
      <c r="B18" s="37">
        <v>39</v>
      </c>
      <c r="C18" s="38">
        <v>157.2500000035507</v>
      </c>
      <c r="D18" s="38">
        <v>4.0320512821423247</v>
      </c>
      <c r="E18" s="37">
        <v>5503.7500001242734</v>
      </c>
      <c r="F18" s="39">
        <v>35</v>
      </c>
    </row>
    <row r="19" spans="1:7" x14ac:dyDescent="0.25">
      <c r="A19" s="32" t="s">
        <v>64</v>
      </c>
      <c r="B19" s="33">
        <v>36</v>
      </c>
      <c r="C19" s="34">
        <v>154.50000000849829</v>
      </c>
      <c r="D19" s="34">
        <v>4.2916666669027306</v>
      </c>
      <c r="E19" s="33">
        <v>5407.5000002974411</v>
      </c>
      <c r="F19" s="35">
        <v>35</v>
      </c>
    </row>
    <row r="22" spans="1:7" ht="18" customHeight="1" x14ac:dyDescent="0.25">
      <c r="A22" s="44" t="s">
        <v>49</v>
      </c>
      <c r="B22" s="42"/>
      <c r="C22" s="42"/>
      <c r="D22" s="42"/>
      <c r="E22" s="42"/>
      <c r="F22" s="42"/>
      <c r="G22" s="42"/>
    </row>
    <row r="23" spans="1:7" ht="31.95" customHeight="1" x14ac:dyDescent="0.25">
      <c r="A23" s="40"/>
      <c r="B23" s="2" t="s">
        <v>2</v>
      </c>
      <c r="C23" s="2" t="s">
        <v>3</v>
      </c>
      <c r="D23" s="2" t="s">
        <v>12</v>
      </c>
      <c r="E23" s="2" t="s">
        <v>4</v>
      </c>
      <c r="F23" s="2" t="s">
        <v>5</v>
      </c>
      <c r="G23" s="2" t="s">
        <v>6</v>
      </c>
    </row>
    <row r="24" spans="1:7" x14ac:dyDescent="0.25">
      <c r="A24" s="13" t="s">
        <v>7</v>
      </c>
      <c r="B24" s="14">
        <v>17</v>
      </c>
      <c r="C24" s="15">
        <v>40.882352941176471</v>
      </c>
      <c r="D24" s="15">
        <v>178.6274509926854</v>
      </c>
      <c r="E24" s="15">
        <v>4.375423310474214</v>
      </c>
      <c r="F24" s="14">
        <v>106283.33334064781</v>
      </c>
      <c r="G24" s="16">
        <v>35</v>
      </c>
    </row>
    <row r="25" spans="1:7" x14ac:dyDescent="0.25">
      <c r="A25" s="17" t="s">
        <v>8</v>
      </c>
      <c r="B25" s="18">
        <v>16</v>
      </c>
      <c r="C25" s="19">
        <v>28.25</v>
      </c>
      <c r="D25" s="19">
        <v>148.3125</v>
      </c>
      <c r="E25" s="19">
        <v>5.25</v>
      </c>
      <c r="F25" s="18">
        <v>78309</v>
      </c>
      <c r="G25" s="20">
        <v>33</v>
      </c>
    </row>
    <row r="27" spans="1:7" x14ac:dyDescent="0.25">
      <c r="A27" s="21" t="s">
        <v>13</v>
      </c>
      <c r="B27" s="22">
        <f t="shared" ref="B27:G27" si="0">B24-B25</f>
        <v>1</v>
      </c>
      <c r="C27" s="23">
        <f t="shared" si="0"/>
        <v>12.632352941176471</v>
      </c>
      <c r="D27" s="23">
        <f t="shared" si="0"/>
        <v>30.314950992685397</v>
      </c>
      <c r="E27" s="23">
        <f t="shared" si="0"/>
        <v>-0.87457668952578604</v>
      </c>
      <c r="F27" s="22">
        <f t="shared" si="0"/>
        <v>27974.333340647805</v>
      </c>
      <c r="G27" s="24">
        <f t="shared" si="0"/>
        <v>2</v>
      </c>
    </row>
    <row r="28" spans="1:7" x14ac:dyDescent="0.25">
      <c r="A28" s="21" t="s">
        <v>14</v>
      </c>
      <c r="B28" s="25">
        <f t="shared" ref="B28:G28" si="1">IF(B25=0,"",(B24-B25)/B25)</f>
        <v>6.25E-2</v>
      </c>
      <c r="C28" s="25">
        <f t="shared" si="1"/>
        <v>0.44716293597084855</v>
      </c>
      <c r="D28" s="25">
        <f t="shared" si="1"/>
        <v>0.20439916387819906</v>
      </c>
      <c r="E28" s="25">
        <f t="shared" si="1"/>
        <v>-0.16658603610014971</v>
      </c>
      <c r="F28" s="25">
        <f t="shared" si="1"/>
        <v>0.35723011838547042</v>
      </c>
      <c r="G28" s="25">
        <f t="shared" si="1"/>
        <v>6.0606060606060608E-2</v>
      </c>
    </row>
    <row r="30" spans="1:7" ht="19.95" customHeight="1" x14ac:dyDescent="0.25">
      <c r="A30" s="46" t="s">
        <v>50</v>
      </c>
      <c r="B30" s="42"/>
      <c r="C30" s="42"/>
      <c r="D30" s="42"/>
    </row>
    <row r="31" spans="1:7" ht="13.95" customHeight="1" x14ac:dyDescent="0.25">
      <c r="A31" s="43" t="s">
        <v>16</v>
      </c>
      <c r="B31" s="42"/>
      <c r="C31" s="42"/>
      <c r="D31" s="42"/>
    </row>
    <row r="32" spans="1:7" ht="16.05" customHeight="1" x14ac:dyDescent="0.25">
      <c r="A32" s="26" t="s">
        <v>17</v>
      </c>
      <c r="B32" s="26" t="s">
        <v>18</v>
      </c>
      <c r="C32" s="26" t="s">
        <v>19</v>
      </c>
      <c r="D32" s="26" t="s">
        <v>20</v>
      </c>
    </row>
    <row r="33" spans="1:4" x14ac:dyDescent="0.25">
      <c r="A33" s="27" t="s">
        <v>30</v>
      </c>
      <c r="B33" s="28" t="s">
        <v>31</v>
      </c>
      <c r="C33" s="29">
        <v>11</v>
      </c>
      <c r="D33" s="29">
        <v>1980</v>
      </c>
    </row>
    <row r="34" spans="1:4" x14ac:dyDescent="0.25">
      <c r="A34" s="27" t="s">
        <v>32</v>
      </c>
      <c r="B34" s="28" t="s">
        <v>31</v>
      </c>
      <c r="C34" s="29">
        <v>6</v>
      </c>
      <c r="D34" s="29">
        <v>1080</v>
      </c>
    </row>
    <row r="35" spans="1:4" x14ac:dyDescent="0.25">
      <c r="A35" s="27" t="s">
        <v>33</v>
      </c>
      <c r="B35" s="28" t="s">
        <v>31</v>
      </c>
      <c r="C35" s="29">
        <v>6</v>
      </c>
      <c r="D35" s="29">
        <v>1080</v>
      </c>
    </row>
    <row r="36" spans="1:4" x14ac:dyDescent="0.25">
      <c r="A36" s="27" t="s">
        <v>34</v>
      </c>
      <c r="B36" s="28" t="s">
        <v>31</v>
      </c>
      <c r="C36" s="29">
        <v>6</v>
      </c>
      <c r="D36" s="29">
        <v>1080</v>
      </c>
    </row>
    <row r="37" spans="1:4" x14ac:dyDescent="0.25">
      <c r="A37" s="27" t="s">
        <v>35</v>
      </c>
      <c r="B37" s="28" t="s">
        <v>22</v>
      </c>
      <c r="C37" s="29">
        <v>57</v>
      </c>
      <c r="D37" s="29">
        <v>7410</v>
      </c>
    </row>
    <row r="38" spans="1:4" x14ac:dyDescent="0.25">
      <c r="A38" s="30" t="s">
        <v>36</v>
      </c>
      <c r="B38" s="26" t="s">
        <v>65</v>
      </c>
      <c r="C38" s="26"/>
      <c r="D38" s="31">
        <v>12630</v>
      </c>
    </row>
  </sheetData>
  <mergeCells count="4">
    <mergeCell ref="A31:D31"/>
    <mergeCell ref="A22:G22"/>
    <mergeCell ref="A1:G1"/>
    <mergeCell ref="A30:D30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51B2DF52839A24880F5A44990A2903E" ma:contentTypeVersion="20" ma:contentTypeDescription="צור מסמך חדש." ma:contentTypeScope="" ma:versionID="6d7b22392d9f15dd71f146f17d92e7f1">
  <xsd:schema xmlns:xsd="http://www.w3.org/2001/XMLSchema" xmlns:xs="http://www.w3.org/2001/XMLSchema" xmlns:p="http://schemas.microsoft.com/office/2006/metadata/properties" xmlns:ns2="3b171586-1276-4147-a472-75ee4e8864b8" xmlns:ns3="9f5944b6-fab9-47ef-9172-7602c374cd8e" targetNamespace="http://schemas.microsoft.com/office/2006/metadata/properties" ma:root="true" ma:fieldsID="00e5fd02fb1f8aea850892db633e4248" ns2:_="" ns3:_="">
    <xsd:import namespace="3b171586-1276-4147-a472-75ee4e8864b8"/>
    <xsd:import namespace="9f5944b6-fab9-47ef-9172-7602c374cd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2:TaxCatchAll" minOccurs="0"/>
                <xsd:element ref="ns3:lcf76f155ced4ddcb4097134ff3c332f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71586-1276-4147-a472-75ee4e8864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e69935c-3901-4902-9a24-c84c2fa51e43}" ma:internalName="TaxCatchAll" ma:showField="CatchAllData" ma:web="3b171586-1276-4147-a472-75ee4e886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944b6-fab9-47ef-9172-7602c374c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תגיות תמונה" ma:readOnly="false" ma:fieldId="{5cf76f15-5ced-4ddc-b409-7134ff3c332f}" ma:taxonomyMulti="true" ma:sspId="bbfaf555-2751-48bb-be26-f13bc84f1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5944b6-fab9-47ef-9172-7602c374cd8e">
      <Terms xmlns="http://schemas.microsoft.com/office/infopath/2007/PartnerControls"/>
    </lcf76f155ced4ddcb4097134ff3c332f>
    <TaxCatchAll xmlns="3b171586-1276-4147-a472-75ee4e8864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E83FF5-4456-4D7C-BB9F-34D7257969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171586-1276-4147-a472-75ee4e8864b8"/>
    <ds:schemaRef ds:uri="9f5944b6-fab9-47ef-9172-7602c374cd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2EBA89-AF98-480E-AB80-EB05E85A888B}">
  <ds:schemaRefs>
    <ds:schemaRef ds:uri="http://schemas.microsoft.com/office/2006/metadata/properties"/>
    <ds:schemaRef ds:uri="http://schemas.microsoft.com/office/infopath/2007/PartnerControls"/>
    <ds:schemaRef ds:uri="9f5944b6-fab9-47ef-9172-7602c374cd8e"/>
    <ds:schemaRef ds:uri="3b171586-1276-4147-a472-75ee4e8864b8"/>
  </ds:schemaRefs>
</ds:datastoreItem>
</file>

<file path=customXml/itemProps3.xml><?xml version="1.0" encoding="utf-8"?>
<ds:datastoreItem xmlns:ds="http://schemas.openxmlformats.org/officeDocument/2006/customXml" ds:itemID="{3603D953-18A1-43B3-864C-EC37F09E43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מינואר עד כה</vt:lpstr>
      <vt:lpstr>ינואר</vt:lpstr>
      <vt:lpstr>פברואר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דרור נדל</cp:lastModifiedBy>
  <dcterms:created xsi:type="dcterms:W3CDTF">2026-04-20T10:26:25Z</dcterms:created>
  <dcterms:modified xsi:type="dcterms:W3CDTF">2026-04-21T07:15:18Z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0x010100C51B2DF52839A24880F5A44990A2903E</vt:lpwstr>
  </property>
  <property fmtid="{D5CDD505-2E9C-101B-9397-08002B2CF9AE}" pid="3" name="MediaServiceImageTags">
    <vt:lpwstr/>
  </property>
</Properties>
</file>