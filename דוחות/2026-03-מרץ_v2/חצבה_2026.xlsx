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מינואר עד כה" sheetId="1" state="visible" r:id="rId1"/>
    <sheet name="ינואר" sheetId="2" state="visible" r:id="rId2"/>
    <sheet name="פברואר" sheetId="3" state="visible" r:id="rId3"/>
    <sheet name="מרץ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"/>
    <numFmt numFmtId="165" formatCode="0.0%"/>
  </numFmts>
  <fonts count="5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b val="1"/>
      <color rgb="00FFFFFF"/>
      <sz val="10"/>
    </font>
    <font>
      <name val="Arial"/>
      <b val="1"/>
      <color rgb="00000000"/>
      <sz val="10"/>
    </font>
    <font>
      <name val="Arial"/>
      <color rgb="00000000"/>
      <sz val="10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4B5"/>
      </patternFill>
    </fill>
    <fill>
      <patternFill patternType="solid">
        <fgColor rgb="00DEEAF1"/>
      </patternFill>
    </fill>
    <fill>
      <patternFill patternType="solid">
        <fgColor rgb="00E2EFDA"/>
      </patternFill>
    </fill>
    <fill>
      <patternFill patternType="solid">
        <fgColor rgb="00FCE4D6"/>
      </patternFill>
    </fill>
    <fill>
      <patternFill patternType="solid">
        <fgColor rgb="00EBF3FB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right" vertical="center"/>
    </xf>
    <xf numFmtId="3" fontId="4" fillId="4" borderId="1" applyAlignment="1" pivotButton="0" quotePrefix="0" xfId="0">
      <alignment horizontal="center" vertical="center"/>
    </xf>
    <xf numFmtId="3" fontId="4" fillId="5" borderId="1" applyAlignment="1" pivotButton="0" quotePrefix="0" xfId="0">
      <alignment horizontal="center" vertical="center"/>
    </xf>
    <xf numFmtId="164" fontId="4" fillId="4" borderId="1" applyAlignment="1" pivotButton="0" quotePrefix="0" xfId="0">
      <alignment horizontal="center" vertical="center"/>
    </xf>
    <xf numFmtId="164" fontId="4" fillId="5" borderId="1" applyAlignment="1" pivotButton="0" quotePrefix="0" xfId="0">
      <alignment horizontal="center" vertical="center"/>
    </xf>
    <xf numFmtId="4" fontId="4" fillId="4" borderId="1" applyAlignment="1" pivotButton="0" quotePrefix="0" xfId="0">
      <alignment horizontal="center" vertical="center"/>
    </xf>
    <xf numFmtId="4" fontId="4" fillId="5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right" vertical="center"/>
    </xf>
    <xf numFmtId="3" fontId="3" fillId="4" borderId="1" applyAlignment="1" pivotButton="0" quotePrefix="0" xfId="0">
      <alignment horizontal="center" vertical="center"/>
    </xf>
    <xf numFmtId="164" fontId="3" fillId="4" borderId="1" applyAlignment="1" pivotButton="0" quotePrefix="0" xfId="0">
      <alignment horizontal="center" vertical="center"/>
    </xf>
    <xf numFmtId="4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right" vertical="center"/>
    </xf>
    <xf numFmtId="3" fontId="3" fillId="5" borderId="1" applyAlignment="1" pivotButton="0" quotePrefix="0" xfId="0">
      <alignment horizontal="center" vertical="center"/>
    </xf>
    <xf numFmtId="164" fontId="3" fillId="5" borderId="1" applyAlignment="1" pivotButton="0" quotePrefix="0" xfId="0">
      <alignment horizontal="center" vertical="center"/>
    </xf>
    <xf numFmtId="4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right" vertical="center"/>
    </xf>
    <xf numFmtId="3" fontId="3" fillId="6" borderId="1" applyAlignment="1" pivotButton="0" quotePrefix="0" xfId="0">
      <alignment horizontal="center" vertical="center"/>
    </xf>
    <xf numFmtId="164" fontId="3" fillId="6" borderId="1" applyAlignment="1" pivotButton="0" quotePrefix="0" xfId="0">
      <alignment horizontal="center" vertical="center"/>
    </xf>
    <xf numFmtId="4" fontId="3" fillId="6" borderId="1" applyAlignment="1" pivotButton="0" quotePrefix="0" xfId="0">
      <alignment horizontal="center" vertical="center"/>
    </xf>
    <xf numFmtId="165" fontId="3" fillId="6" borderId="1" applyAlignment="1" pivotButton="0" quotePrefix="0" xfId="0">
      <alignment horizontal="center" vertical="center"/>
    </xf>
    <xf numFmtId="49" fontId="4" fillId="0" borderId="1" applyAlignment="1" pivotButton="0" quotePrefix="0" xfId="0">
      <alignment horizontal="right" vertical="center"/>
    </xf>
    <xf numFmtId="3" fontId="4" fillId="0" borderId="1" applyAlignment="1" pivotButton="0" quotePrefix="0" xfId="0">
      <alignment horizontal="center" vertical="center"/>
    </xf>
    <xf numFmtId="164" fontId="4" fillId="0" borderId="1" applyAlignment="1" pivotButton="0" quotePrefix="0" xfId="0">
      <alignment horizontal="center" vertical="center"/>
    </xf>
    <xf numFmtId="4" fontId="4" fillId="0" borderId="1" applyAlignment="1" pivotButton="0" quotePrefix="0" xfId="0">
      <alignment horizontal="center" vertical="center"/>
    </xf>
    <xf numFmtId="49" fontId="4" fillId="7" borderId="1" applyAlignment="1" pivotButton="0" quotePrefix="0" xfId="0">
      <alignment horizontal="right" vertical="center"/>
    </xf>
    <xf numFmtId="3" fontId="4" fillId="7" borderId="1" applyAlignment="1" pivotButton="0" quotePrefix="0" xfId="0">
      <alignment horizontal="center" vertical="center"/>
    </xf>
    <xf numFmtId="164" fontId="4" fillId="7" borderId="1" applyAlignment="1" pivotButton="0" quotePrefix="0" xfId="0">
      <alignment horizontal="center" vertical="center"/>
    </xf>
    <xf numFmtId="4" fontId="4" fillId="7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/xl/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theme" Target="theme/theme1.xml"/><Relationship Id="rId5" Type="http://schemas.openxmlformats.org/officeDocument/2006/relationships/styles" Target="styles.xml"/><Relationship Id="rId4" Type="http://schemas.openxmlformats.org/officeDocument/2006/relationships/worksheet" Target="/xl/worksheets/sheet4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"/>
  <sheetViews>
    <sheetView rightToLeft="1"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6" customWidth="1" min="3" max="3"/>
    <col width="16" customWidth="1" min="4" max="4"/>
    <col width="14" customWidth="1" min="5" max="5"/>
    <col width="15" customWidth="1" min="6" max="6"/>
    <col width="14" customWidth="1" min="7" max="7"/>
    <col width="15" customWidth="1" min="8" max="8"/>
    <col width="15" customWidth="1" min="9" max="9"/>
    <col width="22" customWidth="1" min="10" max="10"/>
    <col width="22" customWidth="1" min="11" max="11"/>
  </cols>
  <sheetData>
    <row r="1" ht="28" customHeight="1">
      <c r="A1" s="1" t="inlineStr">
        <is>
          <t>סיכום מינואר עד מרץ 2026 – חצבה</t>
        </is>
      </c>
    </row>
    <row r="2" ht="32" customHeight="1">
      <c r="A2" s="2" t="inlineStr">
        <is>
          <t>חודש</t>
        </is>
      </c>
      <c r="B2" s="3" t="inlineStr">
        <is>
          <t>ימי עבודה</t>
        </is>
      </c>
      <c r="D2" s="3" t="inlineStr">
        <is>
          <t>ממוצע עובדים/יום</t>
        </is>
      </c>
      <c r="F2" s="3" t="inlineStr">
        <is>
          <t>שעות/חניך</t>
        </is>
      </c>
      <c r="H2" s="3" t="inlineStr">
        <is>
          <t>הכנסה (₪)</t>
        </is>
      </c>
      <c r="J2" s="3" t="inlineStr">
        <is>
          <t>תעריף ממוצע בפועל (₪/ש)</t>
        </is>
      </c>
    </row>
    <row r="3" ht="16" customHeight="1">
      <c r="B3" s="4" t="inlineStr">
        <is>
          <t>ביצוע</t>
        </is>
      </c>
      <c r="C3" s="5" t="inlineStr">
        <is>
          <t>תקציב</t>
        </is>
      </c>
      <c r="D3" s="4" t="inlineStr">
        <is>
          <t>ביצוע</t>
        </is>
      </c>
      <c r="E3" s="5" t="inlineStr">
        <is>
          <t>תקציב</t>
        </is>
      </c>
      <c r="F3" s="4" t="inlineStr">
        <is>
          <t>ביצוע</t>
        </is>
      </c>
      <c r="G3" s="5" t="inlineStr">
        <is>
          <t>תקציב</t>
        </is>
      </c>
      <c r="H3" s="4" t="inlineStr">
        <is>
          <t>ביצוע</t>
        </is>
      </c>
      <c r="I3" s="5" t="inlineStr">
        <is>
          <t>תקציב</t>
        </is>
      </c>
      <c r="J3" s="4" t="inlineStr">
        <is>
          <t>ביצוע</t>
        </is>
      </c>
      <c r="K3" s="5" t="inlineStr">
        <is>
          <t>תקציב</t>
        </is>
      </c>
    </row>
    <row r="4">
      <c r="A4" s="6" t="inlineStr">
        <is>
          <t>ינואר</t>
        </is>
      </c>
      <c r="B4" s="7" t="n">
        <v>17</v>
      </c>
      <c r="C4" s="8" t="n">
        <v>17</v>
      </c>
      <c r="D4" s="9" t="n">
        <v>70.23529411764706</v>
      </c>
      <c r="E4" s="10" t="n">
        <v>79.19999999999999</v>
      </c>
      <c r="F4" s="9" t="n">
        <v>4.133267428495277</v>
      </c>
      <c r="G4" s="10" t="n">
        <v>5</v>
      </c>
      <c r="H4" s="7" t="n">
        <v>166841.9833348126</v>
      </c>
      <c r="I4" s="8" t="n">
        <v>235620</v>
      </c>
      <c r="J4" s="11" t="n">
        <v>33.91361454315263</v>
      </c>
      <c r="K4" s="12" t="n">
        <v>35</v>
      </c>
    </row>
    <row r="5">
      <c r="A5" s="6" t="inlineStr">
        <is>
          <t>פברואר</t>
        </is>
      </c>
      <c r="B5" s="7" t="n">
        <v>16</v>
      </c>
      <c r="C5" s="8" t="n">
        <v>16</v>
      </c>
      <c r="D5" s="9" t="n">
        <v>75.25</v>
      </c>
      <c r="E5" s="10" t="n">
        <v>79.19999999999999</v>
      </c>
      <c r="F5" s="9" t="n">
        <v>4.029902426675786</v>
      </c>
      <c r="G5" s="10" t="n">
        <v>5</v>
      </c>
      <c r="H5" s="7" t="n">
        <v>165994.5833345683</v>
      </c>
      <c r="I5" s="8" t="n">
        <v>221760</v>
      </c>
      <c r="J5" s="11" t="n">
        <v>34.17905812345033</v>
      </c>
      <c r="K5" s="12" t="n">
        <v>35</v>
      </c>
    </row>
    <row r="6">
      <c r="A6" s="6" t="inlineStr">
        <is>
          <t>מרץ</t>
        </is>
      </c>
      <c r="B6" s="7" t="n">
        <v>8</v>
      </c>
      <c r="C6" s="8" t="n">
        <v>8</v>
      </c>
      <c r="D6" s="9" t="n">
        <v>13.75</v>
      </c>
      <c r="E6" s="10" t="n">
        <v>79.19999999999999</v>
      </c>
      <c r="F6" s="9" t="n">
        <v>4.70142799908425</v>
      </c>
      <c r="G6" s="10" t="n">
        <v>5</v>
      </c>
      <c r="H6" s="7" t="n">
        <v>16568</v>
      </c>
      <c r="I6" s="8" t="n">
        <v>110880</v>
      </c>
      <c r="J6" s="11" t="n">
        <v>32</v>
      </c>
      <c r="K6" s="12" t="n">
        <v>35</v>
      </c>
    </row>
    <row r="9" ht="22" customHeight="1">
      <c r="A9" s="13" t="inlineStr">
        <is>
          <t>סיכום מצטבר מינואר עד מרץ</t>
        </is>
      </c>
    </row>
    <row r="10" ht="36" customHeight="1">
      <c r="A10" s="14" t="inlineStr"/>
      <c r="B10" s="3" t="inlineStr">
        <is>
          <t>ימי עבודה</t>
        </is>
      </c>
      <c r="C10" s="3" t="inlineStr">
        <is>
          <t>ממוצע עובדים/יום</t>
        </is>
      </c>
      <c r="D10" s="3" t="inlineStr">
        <is>
          <t>ממוצע שעות/יום</t>
        </is>
      </c>
      <c r="E10" s="3" t="inlineStr">
        <is>
          <t>שעות/חניך</t>
        </is>
      </c>
      <c r="F10" s="3" t="inlineStr">
        <is>
          <t>הכנסה (₪)</t>
        </is>
      </c>
      <c r="G10" s="3" t="inlineStr">
        <is>
          <t>תעריף ממוצע בפועל (₪/ש)</t>
        </is>
      </c>
    </row>
    <row r="11">
      <c r="A11" s="15" t="inlineStr">
        <is>
          <t>ביצוע</t>
        </is>
      </c>
      <c r="B11" s="16" t="n">
        <v>41</v>
      </c>
      <c r="C11" s="17" t="n">
        <v>61.17073170731707</v>
      </c>
      <c r="D11" s="17" t="n">
        <v>251.0727642295488</v>
      </c>
      <c r="E11" s="17" t="n">
        <v>4.203790465948933</v>
      </c>
      <c r="F11" s="16" t="n">
        <v>349404.5666693809</v>
      </c>
      <c r="G11" s="18" t="n">
        <v>33.94260077489223</v>
      </c>
    </row>
    <row r="12">
      <c r="A12" s="19" t="inlineStr">
        <is>
          <t>תקציב</t>
        </is>
      </c>
      <c r="B12" s="20" t="n">
        <v>41</v>
      </c>
      <c r="C12" s="21" t="n">
        <v>79.19999999999999</v>
      </c>
      <c r="D12" s="21" t="n">
        <v>395.9999999999999</v>
      </c>
      <c r="E12" s="21" t="n">
        <v>5</v>
      </c>
      <c r="F12" s="20" t="n">
        <v>568259.9999999999</v>
      </c>
      <c r="G12" s="22" t="n">
        <v>35</v>
      </c>
    </row>
    <row r="14">
      <c r="A14" s="23" t="inlineStr">
        <is>
          <t>פער</t>
        </is>
      </c>
      <c r="B14" s="24">
        <f>B11-B12</f>
        <v/>
      </c>
      <c r="C14" s="25">
        <f>C11-C12</f>
        <v/>
      </c>
      <c r="D14" s="25">
        <f>D11-D12</f>
        <v/>
      </c>
      <c r="E14" s="25">
        <f>E11-E12</f>
        <v/>
      </c>
      <c r="F14" s="24">
        <f>F11-F12</f>
        <v/>
      </c>
      <c r="G14" s="26">
        <f>G11-G12</f>
        <v/>
      </c>
    </row>
    <row r="15">
      <c r="A15" s="23" t="inlineStr">
        <is>
          <t>% פער</t>
        </is>
      </c>
      <c r="B15" s="27">
        <f>IF(B12=0,"",(B11-B12)/B12)</f>
        <v/>
      </c>
      <c r="C15" s="27">
        <f>IF(C12=0,"",(C11-C12)/C12)</f>
        <v/>
      </c>
      <c r="D15" s="27">
        <f>IF(D12=0,"",(D11-D12)/D12)</f>
        <v/>
      </c>
      <c r="E15" s="27">
        <f>IF(E12=0,"",(E11-E12)/E12)</f>
        <v/>
      </c>
      <c r="F15" s="27">
        <f>IF(F12=0,"",(F11-F12)/F12)</f>
        <v/>
      </c>
      <c r="G15" s="27">
        <f>IF(G12=0,"",(G11-G12)/G12)</f>
        <v/>
      </c>
    </row>
  </sheetData>
  <mergeCells count="8">
    <mergeCell ref="F2:G2"/>
    <mergeCell ref="B2:C2"/>
    <mergeCell ref="H2:I2"/>
    <mergeCell ref="D2:E2"/>
    <mergeCell ref="A9:G9"/>
    <mergeCell ref="J2:K2"/>
    <mergeCell ref="A2:A3"/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8"/>
  <sheetViews>
    <sheetView rightToLeft="1" workbookViewId="0">
      <selection activeCell="A1" sqref="A1"/>
    </sheetView>
  </sheetViews>
  <sheetFormatPr baseColWidth="8" defaultRowHeight="15"/>
  <cols>
    <col width="13" customWidth="1" min="1" max="1"/>
    <col width="12" customWidth="1" min="2" max="2"/>
    <col width="18" customWidth="1" min="3" max="3"/>
    <col width="16" customWidth="1" min="4" max="4"/>
    <col width="14" customWidth="1" min="5" max="5"/>
    <col width="22" customWidth="1" min="6" max="6"/>
    <col width="24" customWidth="1" min="7" max="7"/>
  </cols>
  <sheetData>
    <row r="1" ht="24" customHeight="1">
      <c r="A1" s="1" t="inlineStr">
        <is>
          <t>ניתוח פערים – חצבה – ינואר 2026</t>
        </is>
      </c>
    </row>
    <row r="2" ht="18" customHeight="1">
      <c r="A2" s="2" t="inlineStr">
        <is>
          <t>תאריך</t>
        </is>
      </c>
      <c r="B2" s="2" t="inlineStr">
        <is>
          <t>עובדים</t>
        </is>
      </c>
      <c r="C2" s="2" t="inlineStr">
        <is>
          <t>סך שעות</t>
        </is>
      </c>
      <c r="D2" s="2" t="inlineStr">
        <is>
          <t>שעות/חניך</t>
        </is>
      </c>
      <c r="E2" s="2" t="inlineStr">
        <is>
          <t>הכנסה (₪)</t>
        </is>
      </c>
      <c r="F2" s="2" t="inlineStr">
        <is>
          <t>תעריף ממוצע בפועל (₪/ש)</t>
        </is>
      </c>
    </row>
    <row r="3">
      <c r="A3" s="28" t="inlineStr">
        <is>
          <t>01-ינו</t>
        </is>
      </c>
      <c r="B3" s="29" t="n">
        <v>76</v>
      </c>
      <c r="C3" s="30" t="n">
        <v>297.1166666714125</v>
      </c>
      <c r="D3" s="30" t="n">
        <v>3.909429824623849</v>
      </c>
      <c r="E3" s="29" t="n">
        <v>9972.08333356498</v>
      </c>
      <c r="F3" s="31" t="n">
        <v>33.5628540979605</v>
      </c>
    </row>
    <row r="4">
      <c r="A4" s="32" t="inlineStr">
        <is>
          <t>05-ינו</t>
        </is>
      </c>
      <c r="B4" s="33" t="n">
        <v>85</v>
      </c>
      <c r="C4" s="34" t="n">
        <v>366.4833333478348</v>
      </c>
      <c r="D4" s="34" t="n">
        <v>4.311568627621586</v>
      </c>
      <c r="E4" s="33" t="n">
        <v>12304.16666716688</v>
      </c>
      <c r="F4" s="35" t="n">
        <v>33.57360498434677</v>
      </c>
    </row>
    <row r="5">
      <c r="A5" s="28" t="inlineStr">
        <is>
          <t>06-ינו</t>
        </is>
      </c>
      <c r="B5" s="29" t="n">
        <v>80</v>
      </c>
      <c r="C5" s="30" t="n">
        <v>333.2666666739387</v>
      </c>
      <c r="D5" s="30" t="n">
        <v>4.165833333424234</v>
      </c>
      <c r="E5" s="29" t="n">
        <v>11221.58333358786</v>
      </c>
      <c r="F5" s="31" t="n">
        <v>33.67148429688836</v>
      </c>
    </row>
    <row r="6">
      <c r="A6" s="32" t="inlineStr">
        <is>
          <t>07-ינו</t>
        </is>
      </c>
      <c r="B6" s="33" t="n">
        <v>57</v>
      </c>
      <c r="C6" s="34" t="n">
        <v>240.1000000160808</v>
      </c>
      <c r="D6" s="34" t="n">
        <v>4.212280702036506</v>
      </c>
      <c r="E6" s="33" t="n">
        <v>8096.750000528836</v>
      </c>
      <c r="F6" s="35" t="n">
        <v>33.72240733022304</v>
      </c>
    </row>
    <row r="7">
      <c r="A7" s="28" t="inlineStr">
        <is>
          <t>08-ינו</t>
        </is>
      </c>
      <c r="B7" s="29" t="n">
        <v>61</v>
      </c>
      <c r="C7" s="30" t="n">
        <v>249.566666670066</v>
      </c>
      <c r="D7" s="30" t="n">
        <v>4.091256830656819</v>
      </c>
      <c r="E7" s="29" t="n">
        <v>8409.08333345231</v>
      </c>
      <c r="F7" s="31" t="n">
        <v>33.69473754509592</v>
      </c>
    </row>
    <row r="8">
      <c r="A8" s="32" t="inlineStr">
        <is>
          <t>12-ינו</t>
        </is>
      </c>
      <c r="B8" s="33" t="n">
        <v>59</v>
      </c>
      <c r="C8" s="34" t="n">
        <v>250.3166666600155</v>
      </c>
      <c r="D8" s="34" t="n">
        <v>4.242655367118906</v>
      </c>
      <c r="E8" s="33" t="n">
        <v>8442.833333100541</v>
      </c>
      <c r="F8" s="35" t="n">
        <v>33.72861042675895</v>
      </c>
    </row>
    <row r="9">
      <c r="A9" s="28" t="inlineStr">
        <is>
          <t>13-ינו</t>
        </is>
      </c>
      <c r="B9" s="29" t="n">
        <v>74</v>
      </c>
      <c r="C9" s="30" t="n">
        <v>301.0833333312495</v>
      </c>
      <c r="D9" s="30" t="n">
        <v>4.068693693665534</v>
      </c>
      <c r="E9" s="29" t="n">
        <v>10237.66666659373</v>
      </c>
      <c r="F9" s="31" t="n">
        <v>34.00276778299891</v>
      </c>
    </row>
    <row r="10">
      <c r="A10" s="32" t="inlineStr">
        <is>
          <t>14-ינו</t>
        </is>
      </c>
      <c r="B10" s="33" t="n">
        <v>55</v>
      </c>
      <c r="C10" s="34" t="n">
        <v>238.1833333382965</v>
      </c>
      <c r="D10" s="34" t="n">
        <v>4.3306060606963</v>
      </c>
      <c r="E10" s="33" t="n">
        <v>8064.666666840378</v>
      </c>
      <c r="F10" s="35" t="n">
        <v>33.85907214333075</v>
      </c>
    </row>
    <row r="11">
      <c r="A11" s="28" t="inlineStr">
        <is>
          <t>15-ינו</t>
        </is>
      </c>
      <c r="B11" s="29" t="n">
        <v>53</v>
      </c>
      <c r="C11" s="30" t="n">
        <v>220.9499999937679</v>
      </c>
      <c r="D11" s="30" t="n">
        <v>4.168867924410716</v>
      </c>
      <c r="E11" s="29" t="n">
        <v>7516.999999781877</v>
      </c>
      <c r="F11" s="31" t="n">
        <v>34.0212717809183</v>
      </c>
    </row>
    <row r="12">
      <c r="A12" s="32" t="inlineStr">
        <is>
          <t>19-ינו</t>
        </is>
      </c>
      <c r="B12" s="33" t="n">
        <v>79</v>
      </c>
      <c r="C12" s="34" t="n">
        <v>343.5833333231315</v>
      </c>
      <c r="D12" s="34" t="n">
        <v>4.349156118014323</v>
      </c>
      <c r="E12" s="33" t="n">
        <v>11642.9166663096</v>
      </c>
      <c r="F12" s="35" t="n">
        <v>33.88673296140279</v>
      </c>
    </row>
    <row r="13">
      <c r="A13" s="28" t="inlineStr">
        <is>
          <t>20-ינו</t>
        </is>
      </c>
      <c r="B13" s="29" t="n">
        <v>65</v>
      </c>
      <c r="C13" s="30" t="n">
        <v>278.1833333301125</v>
      </c>
      <c r="D13" s="30" t="n">
        <v>4.279743589694039</v>
      </c>
      <c r="E13" s="29" t="n">
        <v>9471.916666553938</v>
      </c>
      <c r="F13" s="31" t="n">
        <v>34.04918818523853</v>
      </c>
    </row>
    <row r="14">
      <c r="A14" s="32" t="inlineStr">
        <is>
          <t>21-ינו</t>
        </is>
      </c>
      <c r="B14" s="33" t="n">
        <v>65</v>
      </c>
      <c r="C14" s="34" t="n">
        <v>286.5333333418395</v>
      </c>
      <c r="D14" s="34" t="n">
        <v>4.408205128335992</v>
      </c>
      <c r="E14" s="33" t="n">
        <v>9739.91666696438</v>
      </c>
      <c r="F14" s="35" t="n">
        <v>33.99226384367812</v>
      </c>
    </row>
    <row r="15">
      <c r="A15" s="28" t="inlineStr">
        <is>
          <t>22-ינו</t>
        </is>
      </c>
      <c r="B15" s="29" t="n">
        <v>76</v>
      </c>
      <c r="C15" s="30" t="n">
        <v>310.1333333456307</v>
      </c>
      <c r="D15" s="30" t="n">
        <v>4.080701754547772</v>
      </c>
      <c r="E15" s="29" t="n">
        <v>10591.31666709707</v>
      </c>
      <c r="F15" s="31" t="n">
        <v>34.15084909719618</v>
      </c>
    </row>
    <row r="16">
      <c r="A16" s="32" t="inlineStr">
        <is>
          <t>26-ינו</t>
        </is>
      </c>
      <c r="B16" s="33" t="n">
        <v>72</v>
      </c>
      <c r="C16" s="34" t="n">
        <v>290.2499999981956</v>
      </c>
      <c r="D16" s="34" t="n">
        <v>4.031249999974939</v>
      </c>
      <c r="E16" s="33" t="n">
        <v>9848.749999936847</v>
      </c>
      <c r="F16" s="35" t="n">
        <v>33.93195521101834</v>
      </c>
    </row>
    <row r="17">
      <c r="A17" s="28" t="inlineStr">
        <is>
          <t>27-ינו</t>
        </is>
      </c>
      <c r="B17" s="29" t="n">
        <v>104</v>
      </c>
      <c r="C17" s="30" t="n">
        <v>381.0833333333335</v>
      </c>
      <c r="D17" s="30" t="n">
        <v>3.664262820512822</v>
      </c>
      <c r="E17" s="29" t="n">
        <v>13059.41666666667</v>
      </c>
      <c r="F17" s="31" t="n">
        <v>34.26918871637874</v>
      </c>
    </row>
    <row r="18">
      <c r="A18" s="32" t="inlineStr">
        <is>
          <t>28-ינו</t>
        </is>
      </c>
      <c r="B18" s="33" t="n">
        <v>74</v>
      </c>
      <c r="C18" s="34" t="n">
        <v>314.1166666666667</v>
      </c>
      <c r="D18" s="34" t="n">
        <v>4.24481981981982</v>
      </c>
      <c r="E18" s="33" t="n">
        <v>10737.58333333333</v>
      </c>
      <c r="F18" s="35" t="n">
        <v>34.1834244176792</v>
      </c>
    </row>
    <row r="19">
      <c r="A19" s="28" t="inlineStr">
        <is>
          <t>29-ינו</t>
        </is>
      </c>
      <c r="B19" s="29" t="n">
        <v>59</v>
      </c>
      <c r="C19" s="30" t="n">
        <v>218.6666666666667</v>
      </c>
      <c r="D19" s="30" t="n">
        <v>3.706214689265537</v>
      </c>
      <c r="E19" s="29" t="n">
        <v>7484.333333333334</v>
      </c>
      <c r="F19" s="31" t="n">
        <v>34.22713414634146</v>
      </c>
    </row>
    <row r="22" ht="18" customHeight="1">
      <c r="A22" s="13" t="inlineStr">
        <is>
          <t>סיכום חודשי</t>
        </is>
      </c>
    </row>
    <row r="23" ht="32" customHeight="1">
      <c r="A23" s="36" t="inlineStr"/>
      <c r="B23" s="3" t="inlineStr">
        <is>
          <t>ימי עבודה</t>
        </is>
      </c>
      <c r="C23" s="3" t="inlineStr">
        <is>
          <t>ממוצע עובדים/יום</t>
        </is>
      </c>
      <c r="D23" s="3" t="inlineStr">
        <is>
          <t>ממוצע שעות/יום</t>
        </is>
      </c>
      <c r="E23" s="3" t="inlineStr">
        <is>
          <t>שעות/חניך</t>
        </is>
      </c>
      <c r="F23" s="3" t="inlineStr">
        <is>
          <t>הכנסה (₪)</t>
        </is>
      </c>
      <c r="G23" s="3" t="inlineStr">
        <is>
          <t>תעריף ממוצע בפועל (₪/ש)</t>
        </is>
      </c>
    </row>
    <row r="24">
      <c r="A24" s="15" t="inlineStr">
        <is>
          <t>ביצוע</t>
        </is>
      </c>
      <c r="B24" s="16" t="n">
        <v>17</v>
      </c>
      <c r="C24" s="17" t="n">
        <v>70.23529411764706</v>
      </c>
      <c r="D24" s="17" t="n">
        <v>289.38921568872</v>
      </c>
      <c r="E24" s="17" t="n">
        <v>4.133267428495277</v>
      </c>
      <c r="F24" s="16" t="n">
        <v>166841.9833348126</v>
      </c>
      <c r="G24" s="18" t="n">
        <v>33.91361454315263</v>
      </c>
    </row>
    <row r="25">
      <c r="A25" s="19" t="inlineStr">
        <is>
          <t>תקציב</t>
        </is>
      </c>
      <c r="B25" s="20" t="n">
        <v>17</v>
      </c>
      <c r="C25" s="21" t="n">
        <v>79.19999999999999</v>
      </c>
      <c r="D25" s="21" t="n">
        <v>395.9999999999999</v>
      </c>
      <c r="E25" s="21" t="n">
        <v>5</v>
      </c>
      <c r="F25" s="20" t="n">
        <v>235620</v>
      </c>
      <c r="G25" s="22" t="n">
        <v>35</v>
      </c>
    </row>
    <row r="27">
      <c r="A27" s="23" t="inlineStr">
        <is>
          <t>פער</t>
        </is>
      </c>
      <c r="B27" s="24">
        <f>B24-B25</f>
        <v/>
      </c>
      <c r="C27" s="25">
        <f>C24-C25</f>
        <v/>
      </c>
      <c r="D27" s="25">
        <f>D24-D25</f>
        <v/>
      </c>
      <c r="E27" s="25">
        <f>E24-E25</f>
        <v/>
      </c>
      <c r="F27" s="24">
        <f>F24-F25</f>
        <v/>
      </c>
      <c r="G27" s="26">
        <f>G24-G25</f>
        <v/>
      </c>
    </row>
    <row r="28">
      <c r="A28" s="23" t="inlineStr">
        <is>
          <t>% פער</t>
        </is>
      </c>
      <c r="B28" s="27">
        <f>IF(B25=0,"",(B24-B25)/B25)</f>
        <v/>
      </c>
      <c r="C28" s="27">
        <f>IF(C25=0,"",(C24-C25)/C25)</f>
        <v/>
      </c>
      <c r="D28" s="27">
        <f>IF(D25=0,"",(D24-D25)/D25)</f>
        <v/>
      </c>
      <c r="E28" s="27">
        <f>IF(E25=0,"",(E24-E25)/E25)</f>
        <v/>
      </c>
      <c r="F28" s="27">
        <f>IF(F25=0,"",(F24-F25)/F25)</f>
        <v/>
      </c>
      <c r="G28" s="27">
        <f>IF(G25=0,"",(G24-G25)/G25)</f>
        <v/>
      </c>
    </row>
  </sheetData>
  <mergeCells count="2">
    <mergeCell ref="A22:G22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7"/>
  <sheetViews>
    <sheetView rightToLeft="1" workbookViewId="0">
      <selection activeCell="A1" sqref="A1"/>
    </sheetView>
  </sheetViews>
  <sheetFormatPr baseColWidth="8" defaultRowHeight="15"/>
  <cols>
    <col width="13" customWidth="1" min="1" max="1"/>
    <col width="12" customWidth="1" min="2" max="2"/>
    <col width="18" customWidth="1" min="3" max="3"/>
    <col width="16" customWidth="1" min="4" max="4"/>
    <col width="14" customWidth="1" min="5" max="5"/>
    <col width="22" customWidth="1" min="6" max="6"/>
    <col width="24" customWidth="1" min="7" max="7"/>
  </cols>
  <sheetData>
    <row r="1" ht="24" customHeight="1">
      <c r="A1" s="1" t="inlineStr">
        <is>
          <t>ניתוח פערים – חצבה – פברואר 2026</t>
        </is>
      </c>
    </row>
    <row r="2" ht="18" customHeight="1">
      <c r="A2" s="2" t="inlineStr">
        <is>
          <t>תאריך</t>
        </is>
      </c>
      <c r="B2" s="2" t="inlineStr">
        <is>
          <t>עובדים</t>
        </is>
      </c>
      <c r="C2" s="2" t="inlineStr">
        <is>
          <t>סך שעות</t>
        </is>
      </c>
      <c r="D2" s="2" t="inlineStr">
        <is>
          <t>שעות/חניך</t>
        </is>
      </c>
      <c r="E2" s="2" t="inlineStr">
        <is>
          <t>הכנסה (₪)</t>
        </is>
      </c>
      <c r="F2" s="2" t="inlineStr">
        <is>
          <t>תעריף ממוצע בפועל (₪/ש)</t>
        </is>
      </c>
    </row>
    <row r="3">
      <c r="A3" s="28" t="inlineStr">
        <is>
          <t>02-פבר</t>
        </is>
      </c>
      <c r="B3" s="29" t="n">
        <v>82</v>
      </c>
      <c r="C3" s="30" t="n">
        <v>349.7000000273847</v>
      </c>
      <c r="D3" s="30" t="n">
        <v>4.264634146675423</v>
      </c>
      <c r="E3" s="29" t="n">
        <v>12157.75000095951</v>
      </c>
      <c r="F3" s="31" t="n">
        <v>34.76622819561753</v>
      </c>
    </row>
    <row r="4">
      <c r="A4" s="32" t="inlineStr">
        <is>
          <t>03-פבר</t>
        </is>
      </c>
      <c r="B4" s="33" t="n">
        <v>77</v>
      </c>
      <c r="C4" s="34" t="n">
        <v>311.9666666610981</v>
      </c>
      <c r="D4" s="34" t="n">
        <v>4.051515151442833</v>
      </c>
      <c r="E4" s="33" t="n">
        <v>10711.83333313355</v>
      </c>
      <c r="F4" s="35" t="n">
        <v>34.33646757129421</v>
      </c>
    </row>
    <row r="5">
      <c r="A5" s="28" t="inlineStr">
        <is>
          <t>04-פבר</t>
        </is>
      </c>
      <c r="B5" s="29" t="n">
        <v>61</v>
      </c>
      <c r="C5" s="30" t="n">
        <v>248.1833333466629</v>
      </c>
      <c r="D5" s="30" t="n">
        <v>4.068579235191195</v>
      </c>
      <c r="E5" s="29" t="n">
        <v>8484.9166671332</v>
      </c>
      <c r="F5" s="31" t="n">
        <v>34.18810019479211</v>
      </c>
    </row>
    <row r="6">
      <c r="A6" s="32" t="inlineStr">
        <is>
          <t>05-פבר</t>
        </is>
      </c>
      <c r="B6" s="33" t="n">
        <v>67</v>
      </c>
      <c r="C6" s="34" t="n">
        <v>249.5666666688592</v>
      </c>
      <c r="D6" s="34" t="n">
        <v>3.724875621923271</v>
      </c>
      <c r="E6" s="33" t="n">
        <v>8520.583333410072</v>
      </c>
      <c r="F6" s="35" t="n">
        <v>34.14151195406124</v>
      </c>
    </row>
    <row r="7">
      <c r="A7" s="28" t="inlineStr">
        <is>
          <t>09-פבר</t>
        </is>
      </c>
      <c r="B7" s="29" t="n">
        <v>83</v>
      </c>
      <c r="C7" s="30" t="n">
        <v>348.5166666666667</v>
      </c>
      <c r="D7" s="30" t="n">
        <v>4.198995983935743</v>
      </c>
      <c r="E7" s="29" t="n">
        <v>11840.08333333333</v>
      </c>
      <c r="F7" s="31" t="n">
        <v>33.97278944096409</v>
      </c>
    </row>
    <row r="8">
      <c r="A8" s="32" t="inlineStr">
        <is>
          <t>10-פבר</t>
        </is>
      </c>
      <c r="B8" s="33" t="n">
        <v>80</v>
      </c>
      <c r="C8" s="34" t="n">
        <v>338.2499999981179</v>
      </c>
      <c r="D8" s="34" t="n">
        <v>4.228124999976474</v>
      </c>
      <c r="E8" s="33" t="n">
        <v>11506.99999993413</v>
      </c>
      <c r="F8" s="35" t="n">
        <v>34.01921655579646</v>
      </c>
    </row>
    <row r="9">
      <c r="A9" s="28" t="inlineStr">
        <is>
          <t>11-פבר</t>
        </is>
      </c>
      <c r="B9" s="29" t="n">
        <v>74</v>
      </c>
      <c r="C9" s="30" t="n">
        <v>331.999999997827</v>
      </c>
      <c r="D9" s="30" t="n">
        <v>4.486486486457122</v>
      </c>
      <c r="E9" s="29" t="n">
        <v>11325.49999992394</v>
      </c>
      <c r="F9" s="31" t="n">
        <v>34.11295180722311</v>
      </c>
    </row>
    <row r="10">
      <c r="A10" s="32" t="inlineStr">
        <is>
          <t>12-פבר</t>
        </is>
      </c>
      <c r="B10" s="33" t="n">
        <v>69</v>
      </c>
      <c r="C10" s="34" t="n">
        <v>281.0500000017346</v>
      </c>
      <c r="D10" s="34" t="n">
        <v>4.073188405822242</v>
      </c>
      <c r="E10" s="33" t="n">
        <v>9608.000000060712</v>
      </c>
      <c r="F10" s="35" t="n">
        <v>34.18608788472304</v>
      </c>
    </row>
    <row r="11">
      <c r="A11" s="28" t="inlineStr">
        <is>
          <t>16-פבר</t>
        </is>
      </c>
      <c r="B11" s="29" t="n">
        <v>82</v>
      </c>
      <c r="C11" s="30" t="n">
        <v>192.166666666201</v>
      </c>
      <c r="D11" s="30" t="n">
        <v>2.343495934953671</v>
      </c>
      <c r="E11" s="29" t="n">
        <v>6542.083333317035</v>
      </c>
      <c r="F11" s="31" t="n">
        <v>34.04379878577392</v>
      </c>
    </row>
    <row r="12">
      <c r="A12" s="32" t="inlineStr">
        <is>
          <t>17-פבר</t>
        </is>
      </c>
      <c r="B12" s="33" t="n">
        <v>64</v>
      </c>
      <c r="C12" s="34" t="n">
        <v>263.4166666650446</v>
      </c>
      <c r="D12" s="34" t="n">
        <v>4.115885416641322</v>
      </c>
      <c r="E12" s="33" t="n">
        <v>8990.333333276561</v>
      </c>
      <c r="F12" s="35" t="n">
        <v>34.12970578930182</v>
      </c>
    </row>
    <row r="13">
      <c r="A13" s="28" t="inlineStr">
        <is>
          <t>18-פבר</t>
        </is>
      </c>
      <c r="B13" s="29" t="n">
        <v>67</v>
      </c>
      <c r="C13" s="30" t="n">
        <v>279.15</v>
      </c>
      <c r="D13" s="30" t="n">
        <v>4.166417910447761</v>
      </c>
      <c r="E13" s="29" t="n">
        <v>9478.5</v>
      </c>
      <c r="F13" s="31" t="n">
        <v>33.95486297689415</v>
      </c>
    </row>
    <row r="14">
      <c r="A14" s="32" t="inlineStr">
        <is>
          <t>19-פבר</t>
        </is>
      </c>
      <c r="B14" s="33" t="n">
        <v>57</v>
      </c>
      <c r="C14" s="34" t="n">
        <v>214.0000000036089</v>
      </c>
      <c r="D14" s="34" t="n">
        <v>3.754385964975596</v>
      </c>
      <c r="E14" s="33" t="n">
        <v>7261.500000126312</v>
      </c>
      <c r="F14" s="35" t="n">
        <v>33.93224299067221</v>
      </c>
    </row>
    <row r="15">
      <c r="A15" s="28" t="inlineStr">
        <is>
          <t>23-פבר</t>
        </is>
      </c>
      <c r="B15" s="29" t="n">
        <v>90</v>
      </c>
      <c r="C15" s="30" t="n">
        <v>378.3833333345751</v>
      </c>
      <c r="D15" s="30" t="n">
        <v>4.204259259273057</v>
      </c>
      <c r="E15" s="29" t="n">
        <v>12956.41666671013</v>
      </c>
      <c r="F15" s="31" t="n">
        <v>34.24150993261052</v>
      </c>
    </row>
    <row r="16">
      <c r="A16" s="32" t="inlineStr">
        <is>
          <t>24-פבר</t>
        </is>
      </c>
      <c r="B16" s="33" t="n">
        <v>89</v>
      </c>
      <c r="C16" s="34" t="n">
        <v>369.8666666854095</v>
      </c>
      <c r="D16" s="34" t="n">
        <v>4.155805243656287</v>
      </c>
      <c r="E16" s="33" t="n">
        <v>12650.83333393555</v>
      </c>
      <c r="F16" s="35" t="n">
        <v>34.20376712318261</v>
      </c>
    </row>
    <row r="17">
      <c r="A17" s="28" t="inlineStr">
        <is>
          <t>25-פבר</t>
        </is>
      </c>
      <c r="B17" s="29" t="n">
        <v>86</v>
      </c>
      <c r="C17" s="30" t="n">
        <v>375.1666666566356</v>
      </c>
      <c r="D17" s="30" t="n">
        <v>4.362403100658553</v>
      </c>
      <c r="E17" s="29" t="n">
        <v>12851.08333298225</v>
      </c>
      <c r="F17" s="31" t="n">
        <v>34.25433140824305</v>
      </c>
    </row>
    <row r="18">
      <c r="A18" s="32" t="inlineStr">
        <is>
          <t>26-פבר</t>
        </is>
      </c>
      <c r="B18" s="33" t="n">
        <v>76</v>
      </c>
      <c r="C18" s="34" t="n">
        <v>325.2333333234341</v>
      </c>
      <c r="D18" s="34" t="n">
        <v>4.279385964782028</v>
      </c>
      <c r="E18" s="33" t="n">
        <v>11108.16666633201</v>
      </c>
      <c r="F18" s="35" t="n">
        <v>34.15445321308839</v>
      </c>
    </row>
    <row r="21" ht="18" customHeight="1">
      <c r="A21" s="13" t="inlineStr">
        <is>
          <t>סיכום חודשי</t>
        </is>
      </c>
    </row>
    <row r="22" ht="32" customHeight="1">
      <c r="A22" s="36" t="inlineStr"/>
      <c r="B22" s="3" t="inlineStr">
        <is>
          <t>ימי עבודה</t>
        </is>
      </c>
      <c r="C22" s="3" t="inlineStr">
        <is>
          <t>ממוצע עובדים/יום</t>
        </is>
      </c>
      <c r="D22" s="3" t="inlineStr">
        <is>
          <t>ממוצע שעות/יום</t>
        </is>
      </c>
      <c r="E22" s="3" t="inlineStr">
        <is>
          <t>שעות/חניך</t>
        </is>
      </c>
      <c r="F22" s="3" t="inlineStr">
        <is>
          <t>הכנסה (₪)</t>
        </is>
      </c>
      <c r="G22" s="3" t="inlineStr">
        <is>
          <t>תעריף ממוצע בפועל (₪/ש)</t>
        </is>
      </c>
    </row>
    <row r="23">
      <c r="A23" s="15" t="inlineStr">
        <is>
          <t>ביצוע</t>
        </is>
      </c>
      <c r="B23" s="16" t="n">
        <v>16</v>
      </c>
      <c r="C23" s="17" t="n">
        <v>75.25</v>
      </c>
      <c r="D23" s="17" t="n">
        <v>303.5385416689538</v>
      </c>
      <c r="E23" s="17" t="n">
        <v>4.029902426675786</v>
      </c>
      <c r="F23" s="16" t="n">
        <v>165994.5833345683</v>
      </c>
      <c r="G23" s="18" t="n">
        <v>34.17905812345033</v>
      </c>
    </row>
    <row r="24">
      <c r="A24" s="19" t="inlineStr">
        <is>
          <t>תקציב</t>
        </is>
      </c>
      <c r="B24" s="20" t="n">
        <v>16</v>
      </c>
      <c r="C24" s="21" t="n">
        <v>79.19999999999999</v>
      </c>
      <c r="D24" s="21" t="n">
        <v>395.9999999999999</v>
      </c>
      <c r="E24" s="21" t="n">
        <v>5</v>
      </c>
      <c r="F24" s="20" t="n">
        <v>221760</v>
      </c>
      <c r="G24" s="22" t="n">
        <v>35</v>
      </c>
    </row>
    <row r="26">
      <c r="A26" s="23" t="inlineStr">
        <is>
          <t>פער</t>
        </is>
      </c>
      <c r="B26" s="24">
        <f>B23-B24</f>
        <v/>
      </c>
      <c r="C26" s="25">
        <f>C23-C24</f>
        <v/>
      </c>
      <c r="D26" s="25">
        <f>D23-D24</f>
        <v/>
      </c>
      <c r="E26" s="25">
        <f>E23-E24</f>
        <v/>
      </c>
      <c r="F26" s="24">
        <f>F23-F24</f>
        <v/>
      </c>
      <c r="G26" s="26">
        <f>G23-G24</f>
        <v/>
      </c>
    </row>
    <row r="27">
      <c r="A27" s="23" t="inlineStr">
        <is>
          <t>% פער</t>
        </is>
      </c>
      <c r="B27" s="27">
        <f>IF(B24=0,"",(B23-B24)/B24)</f>
        <v/>
      </c>
      <c r="C27" s="27">
        <f>IF(C24=0,"",(C23-C24)/C24)</f>
        <v/>
      </c>
      <c r="D27" s="27">
        <f>IF(D24=0,"",(D23-D24)/D24)</f>
        <v/>
      </c>
      <c r="E27" s="27">
        <f>IF(E24=0,"",(E23-E24)/E24)</f>
        <v/>
      </c>
      <c r="F27" s="27">
        <f>IF(F24=0,"",(F23-F24)/F24)</f>
        <v/>
      </c>
      <c r="G27" s="27">
        <f>IF(G24=0,"",(G23-G24)/G24)</f>
        <v/>
      </c>
    </row>
  </sheetData>
  <mergeCells count="2">
    <mergeCell ref="A21:G2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9"/>
  <sheetViews>
    <sheetView rightToLeft="1" workbookViewId="0">
      <selection activeCell="A1" sqref="A1"/>
    </sheetView>
  </sheetViews>
  <sheetFormatPr baseColWidth="8" defaultRowHeight="15"/>
  <cols>
    <col width="13" customWidth="1" min="1" max="1"/>
    <col width="12" customWidth="1" min="2" max="2"/>
    <col width="18" customWidth="1" min="3" max="3"/>
    <col width="16" customWidth="1" min="4" max="4"/>
    <col width="14" customWidth="1" min="5" max="5"/>
    <col width="22" customWidth="1" min="6" max="6"/>
    <col width="24" customWidth="1" min="7" max="7"/>
  </cols>
  <sheetData>
    <row r="1" ht="24" customHeight="1">
      <c r="A1" s="1" t="inlineStr">
        <is>
          <t>ניתוח פערים – חצבה – מרץ 2026</t>
        </is>
      </c>
    </row>
    <row r="2" ht="18" customHeight="1">
      <c r="A2" s="2" t="inlineStr">
        <is>
          <t>תאריך</t>
        </is>
      </c>
      <c r="B2" s="2" t="inlineStr">
        <is>
          <t>עובדים</t>
        </is>
      </c>
      <c r="C2" s="2" t="inlineStr">
        <is>
          <t>סך שעות</t>
        </is>
      </c>
      <c r="D2" s="2" t="inlineStr">
        <is>
          <t>שעות/חניך</t>
        </is>
      </c>
      <c r="E2" s="2" t="inlineStr">
        <is>
          <t>הכנסה (₪)</t>
        </is>
      </c>
      <c r="F2" s="2" t="inlineStr">
        <is>
          <t>תעריף ממוצע בפועל (₪/ש)</t>
        </is>
      </c>
    </row>
    <row r="3">
      <c r="A3" s="28" t="inlineStr">
        <is>
          <t>09-מרץ</t>
        </is>
      </c>
      <c r="B3" s="29" t="n">
        <v>12</v>
      </c>
      <c r="C3" s="30" t="n">
        <v>58.41666666666667</v>
      </c>
      <c r="D3" s="30" t="n">
        <v>4.868055555555556</v>
      </c>
      <c r="E3" s="29" t="n">
        <v>1869.333333333333</v>
      </c>
      <c r="F3" s="31" t="n">
        <v>32</v>
      </c>
    </row>
    <row r="4">
      <c r="A4" s="32" t="inlineStr">
        <is>
          <t>10-מרץ</t>
        </is>
      </c>
      <c r="B4" s="33" t="n">
        <v>16</v>
      </c>
      <c r="C4" s="34" t="n">
        <v>71.50000000000001</v>
      </c>
      <c r="D4" s="34" t="n">
        <v>4.468750000000001</v>
      </c>
      <c r="E4" s="33" t="n">
        <v>2288</v>
      </c>
      <c r="F4" s="35" t="n">
        <v>32</v>
      </c>
    </row>
    <row r="5">
      <c r="A5" s="28" t="inlineStr">
        <is>
          <t>11-מרץ</t>
        </is>
      </c>
      <c r="B5" s="29" t="n">
        <v>20</v>
      </c>
      <c r="C5" s="30" t="n">
        <v>100.75</v>
      </c>
      <c r="D5" s="30" t="n">
        <v>5.037500000000001</v>
      </c>
      <c r="E5" s="29" t="n">
        <v>3224</v>
      </c>
      <c r="F5" s="31" t="n">
        <v>32</v>
      </c>
    </row>
    <row r="6">
      <c r="A6" s="32" t="inlineStr">
        <is>
          <t>12-מרץ</t>
        </is>
      </c>
      <c r="B6" s="33" t="n">
        <v>12</v>
      </c>
      <c r="C6" s="34" t="n">
        <v>52.83333333333333</v>
      </c>
      <c r="D6" s="34" t="n">
        <v>4.402777777777778</v>
      </c>
      <c r="E6" s="33" t="n">
        <v>1690.666666666667</v>
      </c>
      <c r="F6" s="35" t="n">
        <v>32</v>
      </c>
    </row>
    <row r="7">
      <c r="A7" s="28" t="inlineStr">
        <is>
          <t>16-מרץ</t>
        </is>
      </c>
      <c r="B7" s="29" t="n">
        <v>13</v>
      </c>
      <c r="C7" s="30" t="n">
        <v>63</v>
      </c>
      <c r="D7" s="30" t="n">
        <v>4.846153846153846</v>
      </c>
      <c r="E7" s="29" t="n">
        <v>2016</v>
      </c>
      <c r="F7" s="31" t="n">
        <v>32</v>
      </c>
    </row>
    <row r="8">
      <c r="A8" s="32" t="inlineStr">
        <is>
          <t>17-מרץ</t>
        </is>
      </c>
      <c r="B8" s="33" t="n">
        <v>10</v>
      </c>
      <c r="C8" s="34" t="n">
        <v>50.50000000000001</v>
      </c>
      <c r="D8" s="34" t="n">
        <v>5.050000000000001</v>
      </c>
      <c r="E8" s="33" t="n">
        <v>1616</v>
      </c>
      <c r="F8" s="35" t="n">
        <v>32</v>
      </c>
    </row>
    <row r="9">
      <c r="A9" s="28" t="inlineStr">
        <is>
          <t>18-מרץ</t>
        </is>
      </c>
      <c r="B9" s="29" t="n">
        <v>13</v>
      </c>
      <c r="C9" s="30" t="n">
        <v>57.00000000000001</v>
      </c>
      <c r="D9" s="30" t="n">
        <v>4.384615384615386</v>
      </c>
      <c r="E9" s="29" t="n">
        <v>1824</v>
      </c>
      <c r="F9" s="31" t="n">
        <v>32</v>
      </c>
    </row>
    <row r="10">
      <c r="A10" s="32" t="inlineStr">
        <is>
          <t>19-מרץ</t>
        </is>
      </c>
      <c r="B10" s="33" t="n">
        <v>14</v>
      </c>
      <c r="C10" s="34" t="n">
        <v>63.75000000000001</v>
      </c>
      <c r="D10" s="34" t="n">
        <v>4.553571428571429</v>
      </c>
      <c r="E10" s="33" t="n">
        <v>2040</v>
      </c>
      <c r="F10" s="35" t="n">
        <v>32</v>
      </c>
    </row>
    <row r="13" ht="18" customHeight="1">
      <c r="A13" s="13" t="inlineStr">
        <is>
          <t>סיכום חודשי</t>
        </is>
      </c>
    </row>
    <row r="14" ht="32" customHeight="1">
      <c r="A14" s="36" t="inlineStr"/>
      <c r="B14" s="3" t="inlineStr">
        <is>
          <t>ימי עבודה</t>
        </is>
      </c>
      <c r="C14" s="3" t="inlineStr">
        <is>
          <t>ממוצע עובדים/יום</t>
        </is>
      </c>
      <c r="D14" s="3" t="inlineStr">
        <is>
          <t>ממוצע שעות/יום</t>
        </is>
      </c>
      <c r="E14" s="3" t="inlineStr">
        <is>
          <t>שעות/חניך</t>
        </is>
      </c>
      <c r="F14" s="3" t="inlineStr">
        <is>
          <t>הכנסה (₪)</t>
        </is>
      </c>
      <c r="G14" s="3" t="inlineStr">
        <is>
          <t>תעריף ממוצע בפועל (₪/ש)</t>
        </is>
      </c>
    </row>
    <row r="15">
      <c r="A15" s="15" t="inlineStr">
        <is>
          <t>ביצוע</t>
        </is>
      </c>
      <c r="B15" s="16" t="n">
        <v>8</v>
      </c>
      <c r="C15" s="17" t="n">
        <v>13.75</v>
      </c>
      <c r="D15" s="17" t="n">
        <v>64.71875</v>
      </c>
      <c r="E15" s="17" t="n">
        <v>4.70142799908425</v>
      </c>
      <c r="F15" s="16" t="n">
        <v>16568</v>
      </c>
      <c r="G15" s="18" t="n">
        <v>32</v>
      </c>
    </row>
    <row r="16">
      <c r="A16" s="19" t="inlineStr">
        <is>
          <t>תקציב</t>
        </is>
      </c>
      <c r="B16" s="20" t="n">
        <v>8</v>
      </c>
      <c r="C16" s="21" t="n">
        <v>79.19999999999999</v>
      </c>
      <c r="D16" s="21" t="n">
        <v>395.9999999999999</v>
      </c>
      <c r="E16" s="21" t="n">
        <v>5</v>
      </c>
      <c r="F16" s="20" t="n">
        <v>110880</v>
      </c>
      <c r="G16" s="22" t="n">
        <v>35</v>
      </c>
    </row>
    <row r="18">
      <c r="A18" s="23" t="inlineStr">
        <is>
          <t>פער</t>
        </is>
      </c>
      <c r="B18" s="24">
        <f>B15-B16</f>
        <v/>
      </c>
      <c r="C18" s="25">
        <f>C15-C16</f>
        <v/>
      </c>
      <c r="D18" s="25">
        <f>D15-D16</f>
        <v/>
      </c>
      <c r="E18" s="25">
        <f>E15-E16</f>
        <v/>
      </c>
      <c r="F18" s="24">
        <f>F15-F16</f>
        <v/>
      </c>
      <c r="G18" s="26">
        <f>G15-G16</f>
        <v/>
      </c>
    </row>
    <row r="19">
      <c r="A19" s="23" t="inlineStr">
        <is>
          <t>% פער</t>
        </is>
      </c>
      <c r="B19" s="27">
        <f>IF(B16=0,"",(B15-B16)/B16)</f>
        <v/>
      </c>
      <c r="C19" s="27">
        <f>IF(C16=0,"",(C15-C16)/C16)</f>
        <v/>
      </c>
      <c r="D19" s="27">
        <f>IF(D16=0,"",(D15-D16)/D16)</f>
        <v/>
      </c>
      <c r="E19" s="27">
        <f>IF(E16=0,"",(E15-E16)/E16)</f>
        <v/>
      </c>
      <c r="F19" s="27">
        <f>IF(F16=0,"",(F15-F16)/F16)</f>
        <v/>
      </c>
      <c r="G19" s="27">
        <f>IF(G16=0,"",(G15-G16)/G16)</f>
        <v/>
      </c>
    </row>
  </sheetData>
  <mergeCells count="2">
    <mergeCell ref="A13:G13"/>
    <mergeCell ref="A1:G1"/>
  </mergeCells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מסמך" ma:contentTypeID="0x010100C51B2DF52839A24880F5A44990A2903E" ma:contentTypeVersion="20" ma:contentTypeDescription="צור מסמך חדש." ma:contentTypeScope="" ma:versionID="6d7b22392d9f15dd71f146f17d92e7f1">
  <xsd:schema xmlns:xsd="http://www.w3.org/2001/XMLSchema" xmlns:xs="http://www.w3.org/2001/XMLSchema" xmlns:p="http://schemas.microsoft.com/office/2006/metadata/properties" xmlns:ns2="3b171586-1276-4147-a472-75ee4e8864b8" xmlns:ns3="9f5944b6-fab9-47ef-9172-7602c374cd8e" targetNamespace="http://schemas.microsoft.com/office/2006/metadata/properties" ma:root="true" ma:fieldsID="00e5fd02fb1f8aea850892db633e4248" ns2:_="" ns3:_="">
    <xsd:import namespace="3b171586-1276-4147-a472-75ee4e8864b8"/>
    <xsd:import namespace="9f5944b6-fab9-47ef-9172-7602c374cd8e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3:MediaServiceDateTaken" minOccurs="0"/>
                <xsd:element ref="ns2:TaxCatchAll" minOccurs="0"/>
                <xsd:element ref="ns3:lcf76f155ced4ddcb4097134ff3c332f" minOccurs="0"/>
                <xsd:element ref="ns3:MediaServiceLocation" minOccurs="0"/>
                <xsd:element ref="ns3:MediaServiceAutoKeyPoints" minOccurs="0"/>
                <xsd:element ref="ns3:MediaServiceKeyPoints" minOccurs="0"/>
                <xsd:element ref="ns3:MediaLengthInSeconds" minOccurs="0"/>
                <xsd:element ref="ns3:MediaServiceObjectDetectorVersion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171586-1276-4147-a472-75ee4e8864b8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משותף עם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משותף עם פרטים" ma:internalName="SharedWithDetails" ma:readOnly="true">
      <xsd:simpleType>
        <xsd:restriction base="dms:Note">
          <xsd:maxLength value="255"/>
        </xsd:restriction>
      </xsd:simpleType>
    </xsd:element>
    <xsd:element name="TaxCatchAll" ma:index="17" nillable="true" ma:displayName="Taxonomy Catch All Column" ma:hidden="true" ma:list="{2e69935c-3901-4902-9a24-c84c2fa51e43}" ma:internalName="TaxCatchAll" ma:showField="CatchAllData" ma:web="3b171586-1276-4147-a472-75ee4e8864b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f5944b6-fab9-47ef-9172-7602c374cd8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19" nillable="true" ma:taxonomy="true" ma:internalName="lcf76f155ced4ddcb4097134ff3c332f" ma:taxonomyFieldName="MediaServiceImageTags" ma:displayName="תגיות תמונה" ma:readOnly="false" ma:fieldId="{5cf76f15-5ced-4ddc-b409-7134ff3c332f}" ma:taxonomyMulti="true" ma:sspId="bbfaf555-2751-48bb-be26-f13bc84f1c9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  <xsd:element name="MediaServiceAutoKeyPoints" ma:index="21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2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סוג תוכן"/>
        <xsd:element ref="dc:title" minOccurs="0" maxOccurs="1" ma:index="4" ma:displayName="כותרת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f5944b6-fab9-47ef-9172-7602c374cd8e">
      <Terms xmlns="http://schemas.microsoft.com/office/infopath/2007/PartnerControls"/>
    </lcf76f155ced4ddcb4097134ff3c332f>
    <TaxCatchAll xmlns="3b171586-1276-4147-a472-75ee4e8864b8" xsi:nil="true"/>
  </documentManagement>
</p:properties>
</file>

<file path=customXml/itemProps1.xml><?xml version="1.0" encoding="utf-8"?>
<ds:datastoreItem xmlns:ds="http://schemas.openxmlformats.org/officeDocument/2006/customXml" ds:itemID="{1903B7EE-5928-4C50-90B0-9E8F2736E003}"/>
</file>

<file path=customXml/itemProps2.xml><?xml version="1.0" encoding="utf-8"?>
<ds:datastoreItem xmlns:ds="http://schemas.openxmlformats.org/officeDocument/2006/customXml" ds:itemID="{B806FF47-0AFC-418A-88B3-7C40683E5387}"/>
</file>

<file path=customXml/itemProps3.xml><?xml version="1.0" encoding="utf-8"?>
<ds:datastoreItem xmlns:ds="http://schemas.openxmlformats.org/officeDocument/2006/customXml" ds:itemID="{3CF2D811-78F6-4567-B4BC-3109F8D10C54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2026-04-20T10:26:25Z</dcterms:created>
  <dcterms:modified xsi:type="dcterms:W3CDTF">2026-04-20T10:26:25Z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0x010100C51B2DF52839A24880F5A44990A2903E</vt:lpwstr>
  </property>
</Properties>
</file>