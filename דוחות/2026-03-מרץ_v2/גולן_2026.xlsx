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מינואר עד כה" sheetId="1" state="visible" r:id="rId1"/>
    <sheet name="ינוא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%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b val="1"/>
      <color rgb="00000000"/>
      <sz val="10"/>
    </font>
    <font>
      <name val="Arial"/>
      <color rgb="00000000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4B5"/>
      </patternFill>
    </fill>
    <fill>
      <patternFill patternType="solid">
        <fgColor rgb="00DEEAF1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3" fontId="4" fillId="4" borderId="1" applyAlignment="1" pivotButton="0" quotePrefix="0" xfId="0">
      <alignment horizontal="center" vertical="center"/>
    </xf>
    <xf numFmtId="3" fontId="4" fillId="5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/>
    </xf>
    <xf numFmtId="164" fontId="4" fillId="5" borderId="1" applyAlignment="1" pivotButton="0" quotePrefix="0" xfId="0">
      <alignment horizontal="center" vertical="center"/>
    </xf>
    <xf numFmtId="4" fontId="4" fillId="4" borderId="1" applyAlignment="1" pivotButton="0" quotePrefix="0" xfId="0">
      <alignment horizontal="center" vertical="center"/>
    </xf>
    <xf numFmtId="4" fontId="4" fillId="5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right" vertical="center"/>
    </xf>
    <xf numFmtId="3" fontId="3" fillId="4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center" vertical="center"/>
    </xf>
    <xf numFmtId="4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right" vertical="center"/>
    </xf>
    <xf numFmtId="3" fontId="3" fillId="5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/>
    </xf>
    <xf numFmtId="4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right" vertical="center"/>
    </xf>
    <xf numFmtId="3" fontId="3" fillId="6" borderId="1" applyAlignment="1" pivotButton="0" quotePrefix="0" xfId="0">
      <alignment horizontal="center" vertical="center"/>
    </xf>
    <xf numFmtId="164" fontId="3" fillId="6" borderId="1" applyAlignment="1" pivotButton="0" quotePrefix="0" xfId="0">
      <alignment horizontal="center" vertical="center"/>
    </xf>
    <xf numFmtId="4" fontId="3" fillId="6" borderId="1" applyAlignment="1" pivotButton="0" quotePrefix="0" xfId="0">
      <alignment horizontal="center" vertical="center"/>
    </xf>
    <xf numFmtId="165" fontId="3" fillId="6" borderId="1" applyAlignment="1" pivotButton="0" quotePrefix="0" xfId="0">
      <alignment horizontal="center" vertical="center"/>
    </xf>
    <xf numFmtId="49" fontId="4" fillId="0" borderId="1" applyAlignment="1" pivotButton="0" quotePrefix="0" xfId="0">
      <alignment horizontal="right" vertical="center"/>
    </xf>
    <xf numFmtId="3" fontId="4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4" fontId="4" fillId="0" borderId="1" applyAlignment="1" pivotButton="0" quotePrefix="0" xfId="0">
      <alignment horizontal="center" vertical="center"/>
    </xf>
    <xf numFmtId="49" fontId="4" fillId="7" borderId="1" applyAlignment="1" pivotButton="0" quotePrefix="0" xfId="0">
      <alignment horizontal="right" vertical="center"/>
    </xf>
    <xf numFmtId="3" fontId="4" fillId="7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4" fontId="4" fillId="7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rightToLeft="1"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6" customWidth="1" min="3" max="3"/>
    <col width="16" customWidth="1" min="4" max="4"/>
    <col width="14" customWidth="1" min="5" max="5"/>
    <col width="15" customWidth="1" min="6" max="6"/>
    <col width="14" customWidth="1" min="7" max="7"/>
    <col width="15" customWidth="1" min="8" max="8"/>
    <col width="15" customWidth="1" min="9" max="9"/>
    <col width="22" customWidth="1" min="10" max="10"/>
    <col width="22" customWidth="1" min="11" max="11"/>
  </cols>
  <sheetData>
    <row r="1" ht="28" customHeight="1">
      <c r="A1" s="1" t="inlineStr">
        <is>
          <t>סיכום מינואר עד מרץ 2026 – גולן</t>
        </is>
      </c>
    </row>
    <row r="2" ht="32" customHeight="1">
      <c r="A2" s="2" t="inlineStr">
        <is>
          <t>חודש</t>
        </is>
      </c>
      <c r="B2" s="3" t="inlineStr">
        <is>
          <t>ימי עבודה</t>
        </is>
      </c>
      <c r="D2" s="3" t="inlineStr">
        <is>
          <t>ממוצע עובדים/יום</t>
        </is>
      </c>
      <c r="F2" s="3" t="inlineStr">
        <is>
          <t>שעות/חניך</t>
        </is>
      </c>
      <c r="H2" s="3" t="inlineStr">
        <is>
          <t>הכנסה (₪)</t>
        </is>
      </c>
      <c r="J2" s="3" t="inlineStr">
        <is>
          <t>תעריף ממוצע בפועל (₪/ש)</t>
        </is>
      </c>
    </row>
    <row r="3" ht="16" customHeight="1">
      <c r="B3" s="4" t="inlineStr">
        <is>
          <t>ביצוע</t>
        </is>
      </c>
      <c r="C3" s="5" t="inlineStr">
        <is>
          <t>תקציב</t>
        </is>
      </c>
      <c r="D3" s="4" t="inlineStr">
        <is>
          <t>ביצוע</t>
        </is>
      </c>
      <c r="E3" s="5" t="inlineStr">
        <is>
          <t>תקציב</t>
        </is>
      </c>
      <c r="F3" s="4" t="inlineStr">
        <is>
          <t>ביצוע</t>
        </is>
      </c>
      <c r="G3" s="5" t="inlineStr">
        <is>
          <t>תקציב</t>
        </is>
      </c>
      <c r="H3" s="4" t="inlineStr">
        <is>
          <t>ביצוע</t>
        </is>
      </c>
      <c r="I3" s="5" t="inlineStr">
        <is>
          <t>תקציב</t>
        </is>
      </c>
      <c r="J3" s="4" t="inlineStr">
        <is>
          <t>ביצוע</t>
        </is>
      </c>
      <c r="K3" s="5" t="inlineStr">
        <is>
          <t>תקציב</t>
        </is>
      </c>
    </row>
    <row r="4">
      <c r="A4" s="6" t="inlineStr">
        <is>
          <t>ינואר</t>
        </is>
      </c>
      <c r="B4" s="7" t="n">
        <v>16</v>
      </c>
      <c r="C4" s="8" t="n">
        <v>13</v>
      </c>
      <c r="D4" s="9" t="n">
        <v>44.8125</v>
      </c>
      <c r="E4" s="10" t="n">
        <v>51.6</v>
      </c>
      <c r="F4" s="9" t="n">
        <v>4.492744617359431</v>
      </c>
      <c r="G4" s="10" t="n">
        <v>4.5</v>
      </c>
      <c r="H4" s="7" t="n">
        <v>125709.999996532</v>
      </c>
      <c r="I4" s="8" t="n">
        <v>117725.4</v>
      </c>
      <c r="J4" s="11" t="n">
        <v>39</v>
      </c>
      <c r="K4" s="12" t="n">
        <v>39</v>
      </c>
    </row>
    <row r="7" ht="22" customHeight="1">
      <c r="A7" s="13" t="inlineStr">
        <is>
          <t>סיכום מצטבר מינואר עד מרץ</t>
        </is>
      </c>
    </row>
    <row r="8" ht="36" customHeight="1">
      <c r="A8" s="14" t="inlineStr"/>
      <c r="B8" s="3" t="inlineStr">
        <is>
          <t>ימי עבודה</t>
        </is>
      </c>
      <c r="C8" s="3" t="inlineStr">
        <is>
          <t>ממוצע עובדים/יום</t>
        </is>
      </c>
      <c r="D8" s="3" t="inlineStr">
        <is>
          <t>ממוצע שעות/יום</t>
        </is>
      </c>
      <c r="E8" s="3" t="inlineStr">
        <is>
          <t>שעות/חניך</t>
        </is>
      </c>
      <c r="F8" s="3" t="inlineStr">
        <is>
          <t>הכנסה (₪)</t>
        </is>
      </c>
      <c r="G8" s="3" t="inlineStr">
        <is>
          <t>תעריף ממוצע בפועל (₪/ש)</t>
        </is>
      </c>
    </row>
    <row r="9">
      <c r="A9" s="15" t="inlineStr">
        <is>
          <t>ביצוע</t>
        </is>
      </c>
      <c r="B9" s="16" t="n">
        <v>16</v>
      </c>
      <c r="C9" s="17" t="n">
        <v>44.8125</v>
      </c>
      <c r="D9" s="17" t="n">
        <v>201.4583333277757</v>
      </c>
      <c r="E9" s="17" t="n">
        <v>4.492744617359431</v>
      </c>
      <c r="F9" s="16" t="n">
        <v>125709.999996532</v>
      </c>
      <c r="G9" s="18" t="n">
        <v>39</v>
      </c>
    </row>
    <row r="10">
      <c r="A10" s="19" t="inlineStr">
        <is>
          <t>תקציב</t>
        </is>
      </c>
      <c r="B10" s="20" t="n">
        <v>35</v>
      </c>
      <c r="C10" s="21" t="n">
        <v>51.6</v>
      </c>
      <c r="D10" s="21" t="n">
        <v>239.5714285714286</v>
      </c>
      <c r="E10" s="21" t="n">
        <v>4.642857142857143</v>
      </c>
      <c r="F10" s="20" t="n">
        <v>327015</v>
      </c>
      <c r="G10" s="22" t="n">
        <v>39</v>
      </c>
    </row>
    <row r="12">
      <c r="A12" s="23" t="inlineStr">
        <is>
          <t>פער</t>
        </is>
      </c>
      <c r="B12" s="24">
        <f>B9-B10</f>
        <v/>
      </c>
      <c r="C12" s="25">
        <f>C9-C10</f>
        <v/>
      </c>
      <c r="D12" s="25">
        <f>D9-D10</f>
        <v/>
      </c>
      <c r="E12" s="25">
        <f>E9-E10</f>
        <v/>
      </c>
      <c r="F12" s="24">
        <f>F9-F10</f>
        <v/>
      </c>
      <c r="G12" s="26">
        <f>G9-G10</f>
        <v/>
      </c>
    </row>
    <row r="13">
      <c r="A13" s="23" t="inlineStr">
        <is>
          <t>% פער</t>
        </is>
      </c>
      <c r="B13" s="27">
        <f>IF(B10=0,"",(B9-B10)/B10)</f>
        <v/>
      </c>
      <c r="C13" s="27">
        <f>IF(C10=0,"",(C9-C10)/C10)</f>
        <v/>
      </c>
      <c r="D13" s="27">
        <f>IF(D10=0,"",(D9-D10)/D10)</f>
        <v/>
      </c>
      <c r="E13" s="27">
        <f>IF(E10=0,"",(E9-E10)/E10)</f>
        <v/>
      </c>
      <c r="F13" s="27">
        <f>IF(F10=0,"",(F9-F10)/F10)</f>
        <v/>
      </c>
      <c r="G13" s="27">
        <f>IF(G10=0,"",(G9-G10)/G10)</f>
        <v/>
      </c>
    </row>
  </sheetData>
  <mergeCells count="8">
    <mergeCell ref="F2:G2"/>
    <mergeCell ref="B2:C2"/>
    <mergeCell ref="H2:I2"/>
    <mergeCell ref="D2:E2"/>
    <mergeCell ref="J2:K2"/>
    <mergeCell ref="A2:A3"/>
    <mergeCell ref="A7:G7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rightToLeft="1"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18" customWidth="1" min="3" max="3"/>
    <col width="16" customWidth="1" min="4" max="4"/>
    <col width="14" customWidth="1" min="5" max="5"/>
    <col width="22" customWidth="1" min="6" max="6"/>
    <col width="24" customWidth="1" min="7" max="7"/>
  </cols>
  <sheetData>
    <row r="1" ht="24" customHeight="1">
      <c r="A1" s="1" t="inlineStr">
        <is>
          <t>ניתוח פערים – גולן – ינואר 2026</t>
        </is>
      </c>
    </row>
    <row r="2" ht="18" customHeight="1">
      <c r="A2" s="2" t="inlineStr">
        <is>
          <t>תאריך</t>
        </is>
      </c>
      <c r="B2" s="2" t="inlineStr">
        <is>
          <t>עובדים</t>
        </is>
      </c>
      <c r="C2" s="2" t="inlineStr">
        <is>
          <t>סך שעות</t>
        </is>
      </c>
      <c r="D2" s="2" t="inlineStr">
        <is>
          <t>שעות/חניך</t>
        </is>
      </c>
      <c r="E2" s="2" t="inlineStr">
        <is>
          <t>הכנסה (₪)</t>
        </is>
      </c>
      <c r="F2" s="2" t="inlineStr">
        <is>
          <t>תעריף ממוצע בפועל (₪/ש)</t>
        </is>
      </c>
    </row>
    <row r="3">
      <c r="A3" s="28" t="inlineStr">
        <is>
          <t>05-ינו</t>
        </is>
      </c>
      <c r="B3" s="29" t="n">
        <v>56</v>
      </c>
      <c r="C3" s="30" t="n">
        <v>265.5000000115833</v>
      </c>
      <c r="D3" s="30" t="n">
        <v>4.741071428778274</v>
      </c>
      <c r="E3" s="29" t="n">
        <v>10354.50000045175</v>
      </c>
      <c r="F3" s="31" t="n">
        <v>39</v>
      </c>
    </row>
    <row r="4">
      <c r="A4" s="32" t="inlineStr">
        <is>
          <t>06-ינו</t>
        </is>
      </c>
      <c r="B4" s="33" t="n">
        <v>53</v>
      </c>
      <c r="C4" s="34" t="n">
        <v>243.0999999967171</v>
      </c>
      <c r="D4" s="34" t="n">
        <v>4.586792452768247</v>
      </c>
      <c r="E4" s="33" t="n">
        <v>9480.899999871966</v>
      </c>
      <c r="F4" s="35" t="n">
        <v>39</v>
      </c>
    </row>
    <row r="5">
      <c r="A5" s="28" t="inlineStr">
        <is>
          <t>07-ינו</t>
        </is>
      </c>
      <c r="B5" s="29" t="n">
        <v>49</v>
      </c>
      <c r="C5" s="30" t="n">
        <v>228.999999951513</v>
      </c>
      <c r="D5" s="30" t="n">
        <v>4.673469386765571</v>
      </c>
      <c r="E5" s="29" t="n">
        <v>8930.999998109008</v>
      </c>
      <c r="F5" s="31" t="n">
        <v>39</v>
      </c>
    </row>
    <row r="6">
      <c r="A6" s="32" t="inlineStr">
        <is>
          <t>08-ינו</t>
        </is>
      </c>
      <c r="B6" s="33" t="n">
        <v>42</v>
      </c>
      <c r="C6" s="34" t="n">
        <v>188.2499999909196</v>
      </c>
      <c r="D6" s="34" t="n">
        <v>4.482142856926657</v>
      </c>
      <c r="E6" s="33" t="n">
        <v>7341.749999645865</v>
      </c>
      <c r="F6" s="35" t="n">
        <v>39</v>
      </c>
    </row>
    <row r="7">
      <c r="A7" s="28" t="inlineStr">
        <is>
          <t>12-ינו</t>
        </is>
      </c>
      <c r="B7" s="29" t="n">
        <v>59</v>
      </c>
      <c r="C7" s="30" t="n">
        <v>281.166666623496</v>
      </c>
      <c r="D7" s="30" t="n">
        <v>4.765536722432135</v>
      </c>
      <c r="E7" s="29" t="n">
        <v>10965.49999831634</v>
      </c>
      <c r="F7" s="31" t="n">
        <v>39</v>
      </c>
    </row>
    <row r="8">
      <c r="A8" s="32" t="inlineStr">
        <is>
          <t>14-ינו</t>
        </is>
      </c>
      <c r="B8" s="33" t="n">
        <v>44</v>
      </c>
      <c r="C8" s="34" t="n">
        <v>191.0999999959022</v>
      </c>
      <c r="D8" s="34" t="n">
        <v>4.343181818088686</v>
      </c>
      <c r="E8" s="33" t="n">
        <v>7452.899999840185</v>
      </c>
      <c r="F8" s="35" t="n">
        <v>39</v>
      </c>
    </row>
    <row r="9">
      <c r="A9" s="28" t="inlineStr">
        <is>
          <t>15-ינו</t>
        </is>
      </c>
      <c r="B9" s="29" t="n">
        <v>49</v>
      </c>
      <c r="C9" s="30" t="n">
        <v>214.4666666579433</v>
      </c>
      <c r="D9" s="30" t="n">
        <v>4.376870748121291</v>
      </c>
      <c r="E9" s="29" t="n">
        <v>8364.199999659788</v>
      </c>
      <c r="F9" s="31" t="n">
        <v>39</v>
      </c>
    </row>
    <row r="10">
      <c r="A10" s="32" t="inlineStr">
        <is>
          <t>19-ינו</t>
        </is>
      </c>
      <c r="B10" s="33" t="n">
        <v>49</v>
      </c>
      <c r="C10" s="34" t="n">
        <v>229.4999999919091</v>
      </c>
      <c r="D10" s="34" t="n">
        <v>4.683673469222636</v>
      </c>
      <c r="E10" s="33" t="n">
        <v>8950.499999684456</v>
      </c>
      <c r="F10" s="35" t="n">
        <v>39</v>
      </c>
    </row>
    <row r="11">
      <c r="A11" s="28" t="inlineStr">
        <is>
          <t>20-ינו</t>
        </is>
      </c>
      <c r="B11" s="29" t="n">
        <v>55</v>
      </c>
      <c r="C11" s="30" t="n">
        <v>258.2000000094995</v>
      </c>
      <c r="D11" s="30" t="n">
        <v>4.694545454718172</v>
      </c>
      <c r="E11" s="29" t="n">
        <v>10069.80000037048</v>
      </c>
      <c r="F11" s="31" t="n">
        <v>39</v>
      </c>
    </row>
    <row r="12">
      <c r="A12" s="32" t="inlineStr">
        <is>
          <t>21-ינו</t>
        </is>
      </c>
      <c r="B12" s="33" t="n">
        <v>53</v>
      </c>
      <c r="C12" s="34" t="n">
        <v>237.4999999864958</v>
      </c>
      <c r="D12" s="34" t="n">
        <v>4.481132075216903</v>
      </c>
      <c r="E12" s="33" t="n">
        <v>9262.499999473337</v>
      </c>
      <c r="F12" s="35" t="n">
        <v>39</v>
      </c>
    </row>
    <row r="13">
      <c r="A13" s="28" t="inlineStr">
        <is>
          <t>26-ינו</t>
        </is>
      </c>
      <c r="B13" s="29" t="n">
        <v>52</v>
      </c>
      <c r="C13" s="30" t="n">
        <v>234.9166666720994</v>
      </c>
      <c r="D13" s="30" t="n">
        <v>4.517628205232681</v>
      </c>
      <c r="E13" s="29" t="n">
        <v>9161.750000211876</v>
      </c>
      <c r="F13" s="31" t="n">
        <v>39</v>
      </c>
    </row>
    <row r="14">
      <c r="A14" s="32" t="inlineStr">
        <is>
          <t>27-ינו</t>
        </is>
      </c>
      <c r="B14" s="33" t="n">
        <v>53</v>
      </c>
      <c r="C14" s="34" t="n">
        <v>247.4666666723012</v>
      </c>
      <c r="D14" s="34" t="n">
        <v>4.669182390043419</v>
      </c>
      <c r="E14" s="33" t="n">
        <v>9651.200000219746</v>
      </c>
      <c r="F14" s="35" t="n">
        <v>39</v>
      </c>
    </row>
    <row r="15">
      <c r="A15" s="28" t="inlineStr">
        <is>
          <t>28-ינו</t>
        </is>
      </c>
      <c r="B15" s="29" t="n">
        <v>44</v>
      </c>
      <c r="C15" s="30" t="n">
        <v>191.9999999986612</v>
      </c>
      <c r="D15" s="30" t="n">
        <v>4.363636363605937</v>
      </c>
      <c r="E15" s="29" t="n">
        <v>7487.999999947788</v>
      </c>
      <c r="F15" s="31" t="n">
        <v>39</v>
      </c>
    </row>
    <row r="16">
      <c r="A16" s="32" t="inlineStr">
        <is>
          <t>29-ינו</t>
        </is>
      </c>
      <c r="B16" s="33" t="n">
        <v>33</v>
      </c>
      <c r="C16" s="34" t="n">
        <v>137.6666666666279</v>
      </c>
      <c r="D16" s="34" t="n">
        <v>4.171717171715996</v>
      </c>
      <c r="E16" s="33" t="n">
        <v>5368.999999998487</v>
      </c>
      <c r="F16" s="35" t="n">
        <v>39</v>
      </c>
    </row>
    <row r="17">
      <c r="A17" s="28" t="inlineStr">
        <is>
          <t>22-ינו</t>
        </is>
      </c>
      <c r="B17" s="29" t="n">
        <v>24</v>
      </c>
      <c r="C17" s="30" t="n">
        <v>62.00000001874287</v>
      </c>
      <c r="D17" s="30" t="n">
        <v>2.583333334114286</v>
      </c>
      <c r="E17" s="29" t="n">
        <v>2418.000000730972</v>
      </c>
      <c r="F17" s="31" t="n">
        <v>39</v>
      </c>
    </row>
    <row r="18">
      <c r="A18" s="32" t="inlineStr">
        <is>
          <t>13-ינו</t>
        </is>
      </c>
      <c r="B18" s="33" t="n">
        <v>2</v>
      </c>
      <c r="C18" s="34" t="n">
        <v>11.5</v>
      </c>
      <c r="D18" s="34" t="n">
        <v>5.75</v>
      </c>
      <c r="E18" s="33" t="n">
        <v>448.5</v>
      </c>
      <c r="F18" s="35" t="n">
        <v>39</v>
      </c>
    </row>
    <row r="21" ht="18" customHeight="1">
      <c r="A21" s="13" t="inlineStr">
        <is>
          <t>סיכום חודשי</t>
        </is>
      </c>
    </row>
    <row r="22" ht="32" customHeight="1">
      <c r="A22" s="36" t="inlineStr"/>
      <c r="B22" s="3" t="inlineStr">
        <is>
          <t>ימי עבודה</t>
        </is>
      </c>
      <c r="C22" s="3" t="inlineStr">
        <is>
          <t>ממוצע עובדים/יום</t>
        </is>
      </c>
      <c r="D22" s="3" t="inlineStr">
        <is>
          <t>ממוצע שעות/יום</t>
        </is>
      </c>
      <c r="E22" s="3" t="inlineStr">
        <is>
          <t>שעות/חניך</t>
        </is>
      </c>
      <c r="F22" s="3" t="inlineStr">
        <is>
          <t>הכנסה (₪)</t>
        </is>
      </c>
      <c r="G22" s="3" t="inlineStr">
        <is>
          <t>תעריף ממוצע בפועל (₪/ש)</t>
        </is>
      </c>
    </row>
    <row r="23">
      <c r="A23" s="15" t="inlineStr">
        <is>
          <t>ביצוע</t>
        </is>
      </c>
      <c r="B23" s="16" t="n">
        <v>16</v>
      </c>
      <c r="C23" s="17" t="n">
        <v>44.8125</v>
      </c>
      <c r="D23" s="17" t="n">
        <v>201.4583333277757</v>
      </c>
      <c r="E23" s="17" t="n">
        <v>4.492744617359431</v>
      </c>
      <c r="F23" s="16" t="n">
        <v>125709.999996532</v>
      </c>
      <c r="G23" s="18" t="n">
        <v>39</v>
      </c>
    </row>
    <row r="24">
      <c r="A24" s="19" t="inlineStr">
        <is>
          <t>תקציב</t>
        </is>
      </c>
      <c r="B24" s="20" t="n">
        <v>13</v>
      </c>
      <c r="C24" s="21" t="n">
        <v>51.6</v>
      </c>
      <c r="D24" s="21" t="n">
        <v>232.2</v>
      </c>
      <c r="E24" s="21" t="n">
        <v>4.5</v>
      </c>
      <c r="F24" s="20" t="n">
        <v>117725.4</v>
      </c>
      <c r="G24" s="22" t="n">
        <v>39</v>
      </c>
    </row>
    <row r="26">
      <c r="A26" s="23" t="inlineStr">
        <is>
          <t>פער</t>
        </is>
      </c>
      <c r="B26" s="24">
        <f>B23-B24</f>
        <v/>
      </c>
      <c r="C26" s="25">
        <f>C23-C24</f>
        <v/>
      </c>
      <c r="D26" s="25">
        <f>D23-D24</f>
        <v/>
      </c>
      <c r="E26" s="25">
        <f>E23-E24</f>
        <v/>
      </c>
      <c r="F26" s="24">
        <f>F23-F24</f>
        <v/>
      </c>
      <c r="G26" s="26">
        <f>G23-G24</f>
        <v/>
      </c>
    </row>
    <row r="27">
      <c r="A27" s="23" t="inlineStr">
        <is>
          <t>% פער</t>
        </is>
      </c>
      <c r="B27" s="27">
        <f>IF(B24=0,"",(B23-B24)/B24)</f>
        <v/>
      </c>
      <c r="C27" s="27">
        <f>IF(C24=0,"",(C23-C24)/C24)</f>
        <v/>
      </c>
      <c r="D27" s="27">
        <f>IF(D24=0,"",(D23-D24)/D24)</f>
        <v/>
      </c>
      <c r="E27" s="27">
        <f>IF(E24=0,"",(E23-E24)/E24)</f>
        <v/>
      </c>
      <c r="F27" s="27">
        <f>IF(F24=0,"",(F23-F24)/F24)</f>
        <v/>
      </c>
      <c r="G27" s="27">
        <f>IF(G24=0,"",(G23-G24)/G24)</f>
        <v/>
      </c>
    </row>
  </sheetData>
  <mergeCells count="2">
    <mergeCell ref="A21:G21"/>
    <mergeCell ref="A1:G1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C51B2DF52839A24880F5A44990A2903E" ma:contentTypeVersion="20" ma:contentTypeDescription="צור מסמך חדש." ma:contentTypeScope="" ma:versionID="6d7b22392d9f15dd71f146f17d92e7f1">
  <xsd:schema xmlns:xsd="http://www.w3.org/2001/XMLSchema" xmlns:xs="http://www.w3.org/2001/XMLSchema" xmlns:p="http://schemas.microsoft.com/office/2006/metadata/properties" xmlns:ns2="3b171586-1276-4147-a472-75ee4e8864b8" xmlns:ns3="9f5944b6-fab9-47ef-9172-7602c374cd8e" targetNamespace="http://schemas.microsoft.com/office/2006/metadata/properties" ma:root="true" ma:fieldsID="00e5fd02fb1f8aea850892db633e4248" ns2:_="" ns3:_="">
    <xsd:import namespace="3b171586-1276-4147-a472-75ee4e8864b8"/>
    <xsd:import namespace="9f5944b6-fab9-47ef-9172-7602c374cd8e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DateTaken" minOccurs="0"/>
                <xsd:element ref="ns2:TaxCatchAll" minOccurs="0"/>
                <xsd:element ref="ns3:lcf76f155ced4ddcb4097134ff3c332f" minOccurs="0"/>
                <xsd:element ref="ns3:MediaServiceLocation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171586-1276-4147-a472-75ee4e8864b8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משותף עם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משותף עם פרטים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2e69935c-3901-4902-9a24-c84c2fa51e43}" ma:internalName="TaxCatchAll" ma:showField="CatchAllData" ma:web="3b171586-1276-4147-a472-75ee4e8864b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5944b6-fab9-47ef-9172-7602c374cd8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תגיות תמונה" ma:readOnly="false" ma:fieldId="{5cf76f15-5ced-4ddc-b409-7134ff3c332f}" ma:taxonomyMulti="true" ma:sspId="bbfaf555-2751-48bb-be26-f13bc84f1c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ServiceAutoKeyPoints" ma:index="2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f5944b6-fab9-47ef-9172-7602c374cd8e">
      <Terms xmlns="http://schemas.microsoft.com/office/infopath/2007/PartnerControls"/>
    </lcf76f155ced4ddcb4097134ff3c332f>
    <TaxCatchAll xmlns="3b171586-1276-4147-a472-75ee4e8864b8" xsi:nil="true"/>
  </documentManagement>
</p:properties>
</file>

<file path=customXml/itemProps1.xml><?xml version="1.0" encoding="utf-8"?>
<ds:datastoreItem xmlns:ds="http://schemas.openxmlformats.org/officeDocument/2006/customXml" ds:itemID="{0ED4EA41-AAEE-443F-89C4-C6227EB9C515}"/>
</file>

<file path=customXml/itemProps2.xml><?xml version="1.0" encoding="utf-8"?>
<ds:datastoreItem xmlns:ds="http://schemas.openxmlformats.org/officeDocument/2006/customXml" ds:itemID="{CB7EA623-2730-4782-851B-0DDBE6B04C03}"/>
</file>

<file path=customXml/itemProps3.xml><?xml version="1.0" encoding="utf-8"?>
<ds:datastoreItem xmlns:ds="http://schemas.openxmlformats.org/officeDocument/2006/customXml" ds:itemID="{77B7BF74-EDD5-427B-84DD-C031039C233A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2026-04-20T10:26:24Z</dcterms:created>
  <dcterms:modified xsi:type="dcterms:W3CDTF">2026-04-20T10:26:24Z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0x010100C51B2DF52839A24880F5A44990A2903E</vt:lpwstr>
  </property>
</Properties>
</file>