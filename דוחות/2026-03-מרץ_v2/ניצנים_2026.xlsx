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ashomer.sharepoint.com/sites/ksafim/Shared Documents/General/כספים - תכנון ובקרה/אדם ואדמה/2026/בקרות חודשיות/הכנסות מחקלאים/ניתוח פערים/דוחות/2026-03-מרץ_v2/"/>
    </mc:Choice>
  </mc:AlternateContent>
  <xr:revisionPtr revIDLastSave="0" documentId="11_EB77E5F5CBE46625E4BAD251AB289884960C268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מינואר עד כה" sheetId="1" r:id="rId1"/>
    <sheet name="ינואר" sheetId="2" r:id="rId2"/>
    <sheet name="פברואר" sheetId="3" r:id="rId3"/>
    <sheet name="מרץ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4" l="1"/>
  <c r="F16" i="4"/>
  <c r="E16" i="4"/>
  <c r="D16" i="4"/>
  <c r="C16" i="4"/>
  <c r="B16" i="4"/>
  <c r="G15" i="4"/>
  <c r="F15" i="4"/>
  <c r="E15" i="4"/>
  <c r="D15" i="4"/>
  <c r="C15" i="4"/>
  <c r="B15" i="4"/>
  <c r="G28" i="3"/>
  <c r="F28" i="3"/>
  <c r="E28" i="3"/>
  <c r="D28" i="3"/>
  <c r="C28" i="3"/>
  <c r="B28" i="3"/>
  <c r="G27" i="3"/>
  <c r="F27" i="3"/>
  <c r="E27" i="3"/>
  <c r="D27" i="3"/>
  <c r="C27" i="3"/>
  <c r="B27" i="3"/>
  <c r="G27" i="2"/>
  <c r="F27" i="2"/>
  <c r="E27" i="2"/>
  <c r="D27" i="2"/>
  <c r="C27" i="2"/>
  <c r="B27" i="2"/>
  <c r="G26" i="2"/>
  <c r="F26" i="2"/>
  <c r="E26" i="2"/>
  <c r="D26" i="2"/>
  <c r="C26" i="2"/>
  <c r="B26" i="2"/>
  <c r="G15" i="1"/>
  <c r="F15" i="1"/>
  <c r="E15" i="1"/>
  <c r="D15" i="1"/>
  <c r="C15" i="1"/>
  <c r="B15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<sst xmlns="http://schemas.openxmlformats.org/spreadsheetml/2006/main" count="123" uniqueCount="61">
  <si>
    <t>סיכום מינואר עד מרץ 2026 – ניצנים</t>
  </si>
  <si>
    <t>חודש</t>
  </si>
  <si>
    <t>ימי עבודה</t>
  </si>
  <si>
    <t>ממוצע עובדים/יום</t>
  </si>
  <si>
    <t>שעות/חניך</t>
  </si>
  <si>
    <t>הכנסה (₪)</t>
  </si>
  <si>
    <t>תעריף ממוצע בפועל (₪/ש)</t>
  </si>
  <si>
    <t>ביצוע</t>
  </si>
  <si>
    <t>תקציב</t>
  </si>
  <si>
    <t>ינואר</t>
  </si>
  <si>
    <t>פברואר</t>
  </si>
  <si>
    <t>מרץ</t>
  </si>
  <si>
    <t>סיכום מצטבר מינואר עד מרץ</t>
  </si>
  <si>
    <t>ממוצע שעות/יום</t>
  </si>
  <si>
    <t>פער</t>
  </si>
  <si>
    <t>% פער</t>
  </si>
  <si>
    <t>ניתוח פערים – ניצנים – ינואר 2026</t>
  </si>
  <si>
    <t>תאריך</t>
  </si>
  <si>
    <t>עובדים</t>
  </si>
  <si>
    <t>סך שעות</t>
  </si>
  <si>
    <t>26-ינו</t>
  </si>
  <si>
    <t>28-ינו</t>
  </si>
  <si>
    <t>29-ינו</t>
  </si>
  <si>
    <t>05-ינו</t>
  </si>
  <si>
    <t>01-ינו</t>
  </si>
  <si>
    <t>06-ינו</t>
  </si>
  <si>
    <t>07-ינו</t>
  </si>
  <si>
    <t>08-ינו</t>
  </si>
  <si>
    <t>12-ינו</t>
  </si>
  <si>
    <t>19-ינו</t>
  </si>
  <si>
    <t>21-ינו</t>
  </si>
  <si>
    <t>22-ינו</t>
  </si>
  <si>
    <t>27-ינו</t>
  </si>
  <si>
    <t>15-ינו</t>
  </si>
  <si>
    <t>20-ינו</t>
  </si>
  <si>
    <t>25-ינו</t>
  </si>
  <si>
    <t>סיכום חודשי</t>
  </si>
  <si>
    <t>ניתוח פערים – ניצנים – פברואר 2026</t>
  </si>
  <si>
    <t>26-פבר</t>
  </si>
  <si>
    <t>11-פבר</t>
  </si>
  <si>
    <t>16-פבר</t>
  </si>
  <si>
    <t>17-פבר</t>
  </si>
  <si>
    <t>18-פבר</t>
  </si>
  <si>
    <t>19-פבר</t>
  </si>
  <si>
    <t>23-פבר</t>
  </si>
  <si>
    <t>03-פבר</t>
  </si>
  <si>
    <t>04-פבר</t>
  </si>
  <si>
    <t>05-פבר</t>
  </si>
  <si>
    <t>09-פבר</t>
  </si>
  <si>
    <t>10-פבר</t>
  </si>
  <si>
    <t>12-פבר</t>
  </si>
  <si>
    <t>24-פבר</t>
  </si>
  <si>
    <t>25-פבר</t>
  </si>
  <si>
    <t>02-פבר</t>
  </si>
  <si>
    <t>15-פבר</t>
  </si>
  <si>
    <t>ניתוח פערים – ניצנים – מרץ 2026</t>
  </si>
  <si>
    <t>17-מרץ</t>
  </si>
  <si>
    <t>18-מרץ</t>
  </si>
  <si>
    <t>09-מרץ</t>
  </si>
  <si>
    <t>10-מרץ</t>
  </si>
  <si>
    <t>11-מרץ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</si>
</sst>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5" x14ac:knownFonts="1">
    <font>
      <sz val="11"/>
      <color theme="1"/>
      <name val="Arial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4B5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3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rightToLeft="1" tabSelected="1" workbookViewId="0">
      <selection sqref="A1:K1"/>
    </sheetView>
  </sheetViews>
  <sheetFormatPr defaultRowHeight="13.8" x14ac:dyDescent="0.25"/>
  <cols>
    <col min="1" max="1" width="16" customWidth="1"/>
    <col min="2" max="2" width="13" customWidth="1"/>
    <col min="3" max="4" width="16" customWidth="1"/>
    <col min="5" max="5" width="14" customWidth="1"/>
    <col min="6" max="6" width="15" customWidth="1"/>
    <col min="7" max="7" width="14" customWidth="1"/>
    <col min="8" max="9" width="15" customWidth="1"/>
    <col min="10" max="11" width="22" customWidth="1"/>
  </cols>
  <sheetData>
    <row r="1" spans="1:11" ht="28.05" customHeight="1" x14ac:dyDescent="0.25">
      <c r="A1" s="39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31.95" customHeight="1" x14ac:dyDescent="0.25">
      <c r="A2" s="38" t="s">
        <v>1</v>
      </c>
      <c r="B2" s="35" t="s">
        <v>2</v>
      </c>
      <c r="C2" s="36"/>
      <c r="D2" s="35" t="s">
        <v>3</v>
      </c>
      <c r="E2" s="36"/>
      <c r="F2" s="35" t="s">
        <v>4</v>
      </c>
      <c r="G2" s="36"/>
      <c r="H2" s="35" t="s">
        <v>5</v>
      </c>
      <c r="I2" s="36"/>
      <c r="J2" s="35" t="s">
        <v>6</v>
      </c>
      <c r="K2" s="36"/>
    </row>
    <row r="3" spans="1:11" ht="16.05" customHeight="1" x14ac:dyDescent="0.25">
      <c r="A3" s="36"/>
      <c r="B3" s="3" t="s">
        <v>7</v>
      </c>
      <c r="C3" s="4" t="s">
        <v>8</v>
      </c>
      <c r="D3" s="3" t="s">
        <v>7</v>
      </c>
      <c r="E3" s="4" t="s">
        <v>8</v>
      </c>
      <c r="F3" s="3" t="s">
        <v>7</v>
      </c>
      <c r="G3" s="4" t="s">
        <v>8</v>
      </c>
      <c r="H3" s="3" t="s">
        <v>7</v>
      </c>
      <c r="I3" s="4" t="s">
        <v>8</v>
      </c>
      <c r="J3" s="3" t="s">
        <v>7</v>
      </c>
      <c r="K3" s="4" t="s">
        <v>8</v>
      </c>
    </row>
    <row r="4" spans="1:11" x14ac:dyDescent="0.25">
      <c r="A4" s="5" t="s">
        <v>9</v>
      </c>
      <c r="B4" s="6">
        <v>16</v>
      </c>
      <c r="C4" s="7">
        <v>14</v>
      </c>
      <c r="D4" s="8">
        <v>34</v>
      </c>
      <c r="E4" s="9">
        <v>62.25</v>
      </c>
      <c r="F4" s="8">
        <v>4.611038864691742</v>
      </c>
      <c r="G4" s="9">
        <v>4.75</v>
      </c>
      <c r="H4" s="6">
        <v>90899.599999016529</v>
      </c>
      <c r="I4" s="7">
        <v>149026.5</v>
      </c>
      <c r="J4" s="10">
        <v>36.997178053953682</v>
      </c>
      <c r="K4" s="11">
        <v>36</v>
      </c>
    </row>
    <row r="5" spans="1:11" x14ac:dyDescent="0.25">
      <c r="A5" s="5" t="s">
        <v>10</v>
      </c>
      <c r="B5" s="6">
        <v>17</v>
      </c>
      <c r="C5" s="7">
        <v>14</v>
      </c>
      <c r="D5" s="8">
        <v>49.529411764705877</v>
      </c>
      <c r="E5" s="9">
        <v>62.25</v>
      </c>
      <c r="F5" s="8">
        <v>4.3523078578790431</v>
      </c>
      <c r="G5" s="9">
        <v>5</v>
      </c>
      <c r="H5" s="6">
        <v>132819.0000006615</v>
      </c>
      <c r="I5" s="7">
        <v>156870</v>
      </c>
      <c r="J5" s="10">
        <v>36</v>
      </c>
      <c r="K5" s="11">
        <v>36</v>
      </c>
    </row>
    <row r="6" spans="1:11" x14ac:dyDescent="0.25">
      <c r="A6" s="5" t="s">
        <v>11</v>
      </c>
      <c r="B6" s="6">
        <v>5</v>
      </c>
      <c r="C6" s="7">
        <v>9</v>
      </c>
      <c r="D6" s="8">
        <v>14</v>
      </c>
      <c r="E6" s="9">
        <v>62.25</v>
      </c>
      <c r="F6" s="8">
        <v>4.6748941800129664</v>
      </c>
      <c r="G6" s="9">
        <v>5.25</v>
      </c>
      <c r="H6" s="6">
        <v>11980.20000057598</v>
      </c>
      <c r="I6" s="7">
        <v>105887.25</v>
      </c>
      <c r="J6" s="10">
        <v>36</v>
      </c>
      <c r="K6" s="11">
        <v>36</v>
      </c>
    </row>
    <row r="9" spans="1:11" ht="22.05" customHeight="1" x14ac:dyDescent="0.25">
      <c r="A9" s="37" t="s">
        <v>12</v>
      </c>
      <c r="B9" s="36"/>
      <c r="C9" s="36"/>
      <c r="D9" s="36"/>
      <c r="E9" s="36"/>
      <c r="F9" s="36"/>
      <c r="G9" s="36"/>
    </row>
    <row r="10" spans="1:11" ht="36" customHeight="1" x14ac:dyDescent="0.25">
      <c r="A10" s="12"/>
      <c r="B10" s="2" t="s">
        <v>2</v>
      </c>
      <c r="C10" s="2" t="s">
        <v>3</v>
      </c>
      <c r="D10" s="2" t="s">
        <v>13</v>
      </c>
      <c r="E10" s="2" t="s">
        <v>4</v>
      </c>
      <c r="F10" s="2" t="s">
        <v>5</v>
      </c>
      <c r="G10" s="2" t="s">
        <v>6</v>
      </c>
    </row>
    <row r="11" spans="1:11" x14ac:dyDescent="0.25">
      <c r="A11" s="13" t="s">
        <v>7</v>
      </c>
      <c r="B11" s="14">
        <v>38</v>
      </c>
      <c r="C11" s="15">
        <v>38.315789473684212</v>
      </c>
      <c r="D11" s="15">
        <v>170.50350877211551</v>
      </c>
      <c r="E11" s="15">
        <v>4.503692797870432</v>
      </c>
      <c r="F11" s="14">
        <v>235698.80000025401</v>
      </c>
      <c r="G11" s="16">
        <v>36.378136993630427</v>
      </c>
    </row>
    <row r="12" spans="1:11" x14ac:dyDescent="0.25">
      <c r="A12" s="17" t="s">
        <v>8</v>
      </c>
      <c r="B12" s="18">
        <v>37</v>
      </c>
      <c r="C12" s="19">
        <v>62.25</v>
      </c>
      <c r="D12" s="19">
        <v>309.14695945945948</v>
      </c>
      <c r="E12" s="19">
        <v>4.9662162162162158</v>
      </c>
      <c r="F12" s="18">
        <v>411783.75</v>
      </c>
      <c r="G12" s="20">
        <v>36</v>
      </c>
    </row>
    <row r="14" spans="1:11" x14ac:dyDescent="0.25">
      <c r="A14" s="21" t="s">
        <v>14</v>
      </c>
      <c r="B14" s="22">
        <f t="shared" ref="B14:G14" si="0">B11-B12</f>
        <v>1</v>
      </c>
      <c r="C14" s="23">
        <f t="shared" si="0"/>
        <v>-23.934210526315788</v>
      </c>
      <c r="D14" s="23">
        <f t="shared" si="0"/>
        <v>-138.64345068734397</v>
      </c>
      <c r="E14" s="23">
        <f t="shared" si="0"/>
        <v>-0.46252341834578381</v>
      </c>
      <c r="F14" s="22">
        <f t="shared" si="0"/>
        <v>-176084.94999974599</v>
      </c>
      <c r="G14" s="24">
        <f t="shared" si="0"/>
        <v>0.3781369936304273</v>
      </c>
    </row>
    <row r="15" spans="1:11" x14ac:dyDescent="0.25">
      <c r="A15" s="21" t="s">
        <v>15</v>
      </c>
      <c r="B15" s="25">
        <f t="shared" ref="B15:G15" si="1">IF(B12=0,"",(B11-B12)/B12)</f>
        <v>2.7027027027027029E-2</v>
      </c>
      <c r="C15" s="25">
        <f t="shared" si="1"/>
        <v>-0.38448530965969135</v>
      </c>
      <c r="D15" s="25">
        <f t="shared" si="1"/>
        <v>-0.44847101498187375</v>
      </c>
      <c r="E15" s="25">
        <f t="shared" si="1"/>
        <v>-9.3133967231531986E-2</v>
      </c>
      <c r="F15" s="25">
        <f t="shared" si="1"/>
        <v>-0.42761510137237324</v>
      </c>
      <c r="G15" s="25">
        <f t="shared" si="1"/>
        <v>1.050380537862298E-2</v>
      </c>
    </row>
  </sheetData>
  <mergeCells count="8">
    <mergeCell ref="J2:K2"/>
    <mergeCell ref="A2:A3"/>
    <mergeCell ref="A1:K1"/>
    <mergeCell ref="F2:G2"/>
    <mergeCell ref="B2:C2"/>
    <mergeCell ref="H2:I2"/>
    <mergeCell ref="D2:E2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rightToLeft="1" workbookViewId="0"/>
  </sheetViews>
  <sheetFormatPr defaultRowHeight="13.8" x14ac:dyDescent="0.25"/>
  <cols>
    <col min="1" max="1" width="13" customWidth="1"/>
    <col min="2" max="2" width="12" customWidth="1"/>
    <col min="3" max="3" width="18" customWidth="1"/>
    <col min="4" max="4" width="16" customWidth="1"/>
    <col min="5" max="5" width="14" customWidth="1"/>
    <col min="6" max="6" width="22" customWidth="1"/>
    <col min="7" max="7" width="24" customWidth="1"/>
  </cols>
  <sheetData>
    <row r="1" spans="1:7" ht="24" customHeight="1" x14ac:dyDescent="0.25">
      <c r="A1" s="39" t="s">
        <v>16</v>
      </c>
      <c r="B1" s="36"/>
      <c r="C1" s="36"/>
      <c r="D1" s="36"/>
      <c r="E1" s="36"/>
      <c r="F1" s="36"/>
      <c r="G1" s="36"/>
    </row>
    <row r="2" spans="1:7" ht="18" customHeight="1" x14ac:dyDescent="0.25">
      <c r="A2" s="1" t="s">
        <v>17</v>
      </c>
      <c r="B2" s="1" t="s">
        <v>18</v>
      </c>
      <c r="C2" s="1" t="s">
        <v>19</v>
      </c>
      <c r="D2" s="1" t="s">
        <v>4</v>
      </c>
      <c r="E2" s="1" t="s">
        <v>5</v>
      </c>
      <c r="F2" s="1" t="s">
        <v>6</v>
      </c>
    </row>
    <row r="3" spans="1:7" x14ac:dyDescent="0.25">
      <c r="A3" s="26" t="s">
        <v>20</v>
      </c>
      <c r="B3" s="27">
        <v>53</v>
      </c>
      <c r="C3" s="28">
        <v>193.35000000419089</v>
      </c>
      <c r="D3" s="28">
        <v>3.6481132076262441</v>
      </c>
      <c r="E3" s="27">
        <v>6960.6000001508746</v>
      </c>
      <c r="F3" s="29">
        <v>36</v>
      </c>
    </row>
    <row r="4" spans="1:7" x14ac:dyDescent="0.25">
      <c r="A4" s="30" t="s">
        <v>21</v>
      </c>
      <c r="B4" s="31">
        <v>31</v>
      </c>
      <c r="C4" s="32">
        <v>136.33333334027949</v>
      </c>
      <c r="D4" s="32">
        <v>4.3978494625896598</v>
      </c>
      <c r="E4" s="31">
        <v>4908.0000002500601</v>
      </c>
      <c r="F4" s="33">
        <v>35.999999999999993</v>
      </c>
    </row>
    <row r="5" spans="1:7" x14ac:dyDescent="0.25">
      <c r="A5" s="26" t="s">
        <v>22</v>
      </c>
      <c r="B5" s="27">
        <v>43</v>
      </c>
      <c r="C5" s="28">
        <v>189.66666665469529</v>
      </c>
      <c r="D5" s="28">
        <v>4.4108527128998896</v>
      </c>
      <c r="E5" s="27">
        <v>6827.9999995690296</v>
      </c>
      <c r="F5" s="29">
        <v>36</v>
      </c>
    </row>
    <row r="6" spans="1:7" x14ac:dyDescent="0.25">
      <c r="A6" s="30" t="s">
        <v>23</v>
      </c>
      <c r="B6" s="31">
        <v>33</v>
      </c>
      <c r="C6" s="32">
        <v>114.7500000141445</v>
      </c>
      <c r="D6" s="32">
        <v>3.4772727277013469</v>
      </c>
      <c r="E6" s="31">
        <v>4131.0000005092006</v>
      </c>
      <c r="F6" s="33">
        <v>36</v>
      </c>
    </row>
    <row r="7" spans="1:7" x14ac:dyDescent="0.25">
      <c r="A7" s="26" t="s">
        <v>24</v>
      </c>
      <c r="B7" s="27">
        <v>18</v>
      </c>
      <c r="C7" s="28">
        <v>87.499999972991645</v>
      </c>
      <c r="D7" s="28">
        <v>4.861111109610647</v>
      </c>
      <c r="E7" s="27">
        <v>3149.9999990276988</v>
      </c>
      <c r="F7" s="29">
        <v>36</v>
      </c>
    </row>
    <row r="8" spans="1:7" x14ac:dyDescent="0.25">
      <c r="A8" s="30" t="s">
        <v>25</v>
      </c>
      <c r="B8" s="31">
        <v>23</v>
      </c>
      <c r="C8" s="32">
        <v>167.74999999155989</v>
      </c>
      <c r="D8" s="32">
        <v>7.2934782605026038</v>
      </c>
      <c r="E8" s="31">
        <v>7046.999999696156</v>
      </c>
      <c r="F8" s="33">
        <v>42.008941878096671</v>
      </c>
    </row>
    <row r="9" spans="1:7" x14ac:dyDescent="0.25">
      <c r="A9" s="26" t="s">
        <v>26</v>
      </c>
      <c r="B9" s="27">
        <v>30</v>
      </c>
      <c r="C9" s="28">
        <v>193.74999999732239</v>
      </c>
      <c r="D9" s="28">
        <v>6.4583333332440818</v>
      </c>
      <c r="E9" s="27">
        <v>7744.9999999036081</v>
      </c>
      <c r="F9" s="29">
        <v>39.974193548442017</v>
      </c>
    </row>
    <row r="10" spans="1:7" x14ac:dyDescent="0.25">
      <c r="A10" s="30" t="s">
        <v>27</v>
      </c>
      <c r="B10" s="31">
        <v>34</v>
      </c>
      <c r="C10" s="32">
        <v>208.58333331643371</v>
      </c>
      <c r="D10" s="32">
        <v>6.1348039210715797</v>
      </c>
      <c r="E10" s="31">
        <v>8180.9999993916144</v>
      </c>
      <c r="F10" s="33">
        <v>39.22173391955787</v>
      </c>
    </row>
    <row r="11" spans="1:7" x14ac:dyDescent="0.25">
      <c r="A11" s="26" t="s">
        <v>28</v>
      </c>
      <c r="B11" s="27">
        <v>38</v>
      </c>
      <c r="C11" s="28">
        <v>164.083333332499</v>
      </c>
      <c r="D11" s="28">
        <v>4.3179824561183953</v>
      </c>
      <c r="E11" s="27">
        <v>5906.9999999699648</v>
      </c>
      <c r="F11" s="29">
        <v>36</v>
      </c>
    </row>
    <row r="12" spans="1:7" x14ac:dyDescent="0.25">
      <c r="A12" s="30" t="s">
        <v>29</v>
      </c>
      <c r="B12" s="31">
        <v>9</v>
      </c>
      <c r="C12" s="32">
        <v>37.916666663310018</v>
      </c>
      <c r="D12" s="32">
        <v>4.2129629625900016</v>
      </c>
      <c r="E12" s="31">
        <v>1364.9999998791609</v>
      </c>
      <c r="F12" s="33">
        <v>36</v>
      </c>
    </row>
    <row r="13" spans="1:7" x14ac:dyDescent="0.25">
      <c r="A13" s="26" t="s">
        <v>30</v>
      </c>
      <c r="B13" s="27">
        <v>53</v>
      </c>
      <c r="C13" s="28">
        <v>231.83333336526991</v>
      </c>
      <c r="D13" s="28">
        <v>4.374213837080565</v>
      </c>
      <c r="E13" s="27">
        <v>8346.0000011497177</v>
      </c>
      <c r="F13" s="29">
        <v>36</v>
      </c>
    </row>
    <row r="14" spans="1:7" x14ac:dyDescent="0.25">
      <c r="A14" s="30" t="s">
        <v>31</v>
      </c>
      <c r="B14" s="31">
        <v>44</v>
      </c>
      <c r="C14" s="32">
        <v>163.74999996472619</v>
      </c>
      <c r="D14" s="32">
        <v>3.7215909082892309</v>
      </c>
      <c r="E14" s="31">
        <v>5894.9999987301417</v>
      </c>
      <c r="F14" s="33">
        <v>36</v>
      </c>
    </row>
    <row r="15" spans="1:7" x14ac:dyDescent="0.25">
      <c r="A15" s="26" t="s">
        <v>32</v>
      </c>
      <c r="B15" s="27">
        <v>38</v>
      </c>
      <c r="C15" s="28">
        <v>163.3333333421227</v>
      </c>
      <c r="D15" s="28">
        <v>4.2982456142663859</v>
      </c>
      <c r="E15" s="27">
        <v>5880.0000003164168</v>
      </c>
      <c r="F15" s="29">
        <v>36.000000000000007</v>
      </c>
    </row>
    <row r="16" spans="1:7" x14ac:dyDescent="0.25">
      <c r="A16" s="30" t="s">
        <v>33</v>
      </c>
      <c r="B16" s="31">
        <v>32</v>
      </c>
      <c r="C16" s="32">
        <v>123.33333335560749</v>
      </c>
      <c r="D16" s="32">
        <v>3.8541666673627328</v>
      </c>
      <c r="E16" s="31">
        <v>4440.0000008018687</v>
      </c>
      <c r="F16" s="33">
        <v>36</v>
      </c>
    </row>
    <row r="17" spans="1:7" x14ac:dyDescent="0.25">
      <c r="A17" s="26" t="s">
        <v>34</v>
      </c>
      <c r="B17" s="27">
        <v>12</v>
      </c>
      <c r="C17" s="28">
        <v>46.750000003085013</v>
      </c>
      <c r="D17" s="28">
        <v>3.8958333335904172</v>
      </c>
      <c r="E17" s="27">
        <v>1683.00000011106</v>
      </c>
      <c r="F17" s="29">
        <v>36</v>
      </c>
    </row>
    <row r="18" spans="1:7" x14ac:dyDescent="0.25">
      <c r="A18" s="30" t="s">
        <v>35</v>
      </c>
      <c r="B18" s="31">
        <v>53</v>
      </c>
      <c r="C18" s="32">
        <v>234.24999998777639</v>
      </c>
      <c r="D18" s="32">
        <v>4.419811320524083</v>
      </c>
      <c r="E18" s="31">
        <v>8432.9999995599501</v>
      </c>
      <c r="F18" s="33">
        <v>36</v>
      </c>
    </row>
    <row r="21" spans="1:7" ht="18" customHeight="1" x14ac:dyDescent="0.25">
      <c r="A21" s="37" t="s">
        <v>36</v>
      </c>
      <c r="B21" s="36"/>
      <c r="C21" s="36"/>
      <c r="D21" s="36"/>
      <c r="E21" s="36"/>
      <c r="F21" s="36"/>
      <c r="G21" s="36"/>
    </row>
    <row r="22" spans="1:7" ht="31.95" customHeight="1" x14ac:dyDescent="0.25">
      <c r="A22" s="34"/>
      <c r="B22" s="2" t="s">
        <v>2</v>
      </c>
      <c r="C22" s="2" t="s">
        <v>3</v>
      </c>
      <c r="D22" s="2" t="s">
        <v>13</v>
      </c>
      <c r="E22" s="2" t="s">
        <v>4</v>
      </c>
      <c r="F22" s="2" t="s">
        <v>5</v>
      </c>
      <c r="G22" s="2" t="s">
        <v>6</v>
      </c>
    </row>
    <row r="23" spans="1:7" x14ac:dyDescent="0.25">
      <c r="A23" s="13" t="s">
        <v>7</v>
      </c>
      <c r="B23" s="14">
        <v>16</v>
      </c>
      <c r="C23" s="15">
        <v>34</v>
      </c>
      <c r="D23" s="15">
        <v>153.5583333316259</v>
      </c>
      <c r="E23" s="15">
        <v>4.611038864691742</v>
      </c>
      <c r="F23" s="14">
        <v>90899.599999016529</v>
      </c>
      <c r="G23" s="16">
        <v>36.997178053953682</v>
      </c>
    </row>
    <row r="24" spans="1:7" x14ac:dyDescent="0.25">
      <c r="A24" s="17" t="s">
        <v>8</v>
      </c>
      <c r="B24" s="18">
        <v>14</v>
      </c>
      <c r="C24" s="19">
        <v>62.25</v>
      </c>
      <c r="D24" s="19">
        <v>295.6875</v>
      </c>
      <c r="E24" s="19">
        <v>4.75</v>
      </c>
      <c r="F24" s="18">
        <v>149026.5</v>
      </c>
      <c r="G24" s="20">
        <v>36</v>
      </c>
    </row>
    <row r="26" spans="1:7" x14ac:dyDescent="0.25">
      <c r="A26" s="21" t="s">
        <v>14</v>
      </c>
      <c r="B26" s="22">
        <f t="shared" ref="B26:G26" si="0">B23-B24</f>
        <v>2</v>
      </c>
      <c r="C26" s="23">
        <f t="shared" si="0"/>
        <v>-28.25</v>
      </c>
      <c r="D26" s="23">
        <f t="shared" si="0"/>
        <v>-142.1291666683741</v>
      </c>
      <c r="E26" s="23">
        <f t="shared" si="0"/>
        <v>-0.13896113530825804</v>
      </c>
      <c r="F26" s="22">
        <f t="shared" si="0"/>
        <v>-58126.900000983471</v>
      </c>
      <c r="G26" s="24">
        <f t="shared" si="0"/>
        <v>0.99717805395368231</v>
      </c>
    </row>
    <row r="27" spans="1:7" x14ac:dyDescent="0.25">
      <c r="A27" s="21" t="s">
        <v>15</v>
      </c>
      <c r="B27" s="25">
        <f t="shared" ref="B27:G27" si="1">IF(B24=0,"",(B23-B24)/B24)</f>
        <v>0.14285714285714285</v>
      </c>
      <c r="C27" s="25">
        <f t="shared" si="1"/>
        <v>-0.45381526104417669</v>
      </c>
      <c r="D27" s="25">
        <f t="shared" si="1"/>
        <v>-0.48067357148467249</v>
      </c>
      <c r="E27" s="25">
        <f t="shared" si="1"/>
        <v>-2.9254975854370115E-2</v>
      </c>
      <c r="F27" s="25">
        <f t="shared" si="1"/>
        <v>-0.3900440525744312</v>
      </c>
      <c r="G27" s="25">
        <f t="shared" si="1"/>
        <v>2.7699390387602288E-2</v>
      </c>
    </row>
  </sheetData>
  <mergeCells count="2"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rightToLeft="1" workbookViewId="0"/>
  </sheetViews>
  <sheetFormatPr defaultRowHeight="13.8" x14ac:dyDescent="0.25"/>
  <cols>
    <col min="1" max="1" width="13" customWidth="1"/>
    <col min="2" max="2" width="12" customWidth="1"/>
    <col min="3" max="3" width="18" customWidth="1"/>
    <col min="4" max="4" width="16" customWidth="1"/>
    <col min="5" max="5" width="14" customWidth="1"/>
    <col min="6" max="6" width="22" customWidth="1"/>
    <col min="7" max="7" width="24" customWidth="1"/>
  </cols>
  <sheetData>
    <row r="1" spans="1:7" ht="24" customHeight="1" x14ac:dyDescent="0.25">
      <c r="A1" s="39" t="s">
        <v>37</v>
      </c>
      <c r="B1" s="36"/>
      <c r="C1" s="36"/>
      <c r="D1" s="36"/>
      <c r="E1" s="36"/>
      <c r="F1" s="36"/>
      <c r="G1" s="36"/>
    </row>
    <row r="2" spans="1:7" ht="18" customHeight="1" x14ac:dyDescent="0.25">
      <c r="A2" s="1" t="s">
        <v>17</v>
      </c>
      <c r="B2" s="1" t="s">
        <v>18</v>
      </c>
      <c r="C2" s="1" t="s">
        <v>19</v>
      </c>
      <c r="D2" s="1" t="s">
        <v>4</v>
      </c>
      <c r="E2" s="1" t="s">
        <v>5</v>
      </c>
      <c r="F2" s="1" t="s">
        <v>6</v>
      </c>
    </row>
    <row r="3" spans="1:7" x14ac:dyDescent="0.25">
      <c r="A3" s="26" t="s">
        <v>38</v>
      </c>
      <c r="B3" s="27">
        <v>60</v>
      </c>
      <c r="C3" s="28">
        <v>261.08333334881661</v>
      </c>
      <c r="D3" s="28">
        <v>4.3513888891469437</v>
      </c>
      <c r="E3" s="27">
        <v>9399.0000005573966</v>
      </c>
      <c r="F3" s="29">
        <v>35.999999999999993</v>
      </c>
    </row>
    <row r="4" spans="1:7" x14ac:dyDescent="0.25">
      <c r="A4" s="30" t="s">
        <v>39</v>
      </c>
      <c r="B4" s="31">
        <v>54</v>
      </c>
      <c r="C4" s="32">
        <v>255.66666669643021</v>
      </c>
      <c r="D4" s="32">
        <v>4.734567901785744</v>
      </c>
      <c r="E4" s="31">
        <v>9204.0000010714866</v>
      </c>
      <c r="F4" s="33">
        <v>36</v>
      </c>
    </row>
    <row r="5" spans="1:7" x14ac:dyDescent="0.25">
      <c r="A5" s="26" t="s">
        <v>40</v>
      </c>
      <c r="B5" s="27">
        <v>74</v>
      </c>
      <c r="C5" s="28">
        <v>334.58333332925878</v>
      </c>
      <c r="D5" s="28">
        <v>4.5213963963413359</v>
      </c>
      <c r="E5" s="27">
        <v>12044.99999985332</v>
      </c>
      <c r="F5" s="29">
        <v>35.999999999999993</v>
      </c>
    </row>
    <row r="6" spans="1:7" x14ac:dyDescent="0.25">
      <c r="A6" s="30" t="s">
        <v>41</v>
      </c>
      <c r="B6" s="31">
        <v>48</v>
      </c>
      <c r="C6" s="32">
        <v>208.2500000180444</v>
      </c>
      <c r="D6" s="32">
        <v>4.3385416670425911</v>
      </c>
      <c r="E6" s="31">
        <v>7497.0000006495966</v>
      </c>
      <c r="F6" s="33">
        <v>36</v>
      </c>
    </row>
    <row r="7" spans="1:7" x14ac:dyDescent="0.25">
      <c r="A7" s="26" t="s">
        <v>42</v>
      </c>
      <c r="B7" s="27">
        <v>49</v>
      </c>
      <c r="C7" s="28">
        <v>232.24999999051221</v>
      </c>
      <c r="D7" s="28">
        <v>4.7397959181737166</v>
      </c>
      <c r="E7" s="27">
        <v>8360.9999996584374</v>
      </c>
      <c r="F7" s="29">
        <v>36</v>
      </c>
    </row>
    <row r="8" spans="1:7" x14ac:dyDescent="0.25">
      <c r="A8" s="30" t="s">
        <v>43</v>
      </c>
      <c r="B8" s="31">
        <v>45</v>
      </c>
      <c r="C8" s="32">
        <v>206.00000000054331</v>
      </c>
      <c r="D8" s="32">
        <v>4.5777777777898514</v>
      </c>
      <c r="E8" s="31">
        <v>7416.0000000195578</v>
      </c>
      <c r="F8" s="33">
        <v>36</v>
      </c>
    </row>
    <row r="9" spans="1:7" x14ac:dyDescent="0.25">
      <c r="A9" s="26" t="s">
        <v>44</v>
      </c>
      <c r="B9" s="27">
        <v>70</v>
      </c>
      <c r="C9" s="28">
        <v>283.6666666684323</v>
      </c>
      <c r="D9" s="28">
        <v>4.0523809524061756</v>
      </c>
      <c r="E9" s="27">
        <v>10212.000000063559</v>
      </c>
      <c r="F9" s="29">
        <v>36</v>
      </c>
    </row>
    <row r="10" spans="1:7" x14ac:dyDescent="0.25">
      <c r="A10" s="30" t="s">
        <v>45</v>
      </c>
      <c r="B10" s="31">
        <v>33</v>
      </c>
      <c r="C10" s="32">
        <v>119.7499999792781</v>
      </c>
      <c r="D10" s="32">
        <v>3.6287878781599421</v>
      </c>
      <c r="E10" s="31">
        <v>4310.9999992540106</v>
      </c>
      <c r="F10" s="33">
        <v>36</v>
      </c>
    </row>
    <row r="11" spans="1:7" x14ac:dyDescent="0.25">
      <c r="A11" s="26" t="s">
        <v>46</v>
      </c>
      <c r="B11" s="27">
        <v>47</v>
      </c>
      <c r="C11" s="28">
        <v>212.5833333138726</v>
      </c>
      <c r="D11" s="28">
        <v>4.5230496449760116</v>
      </c>
      <c r="E11" s="27">
        <v>7652.9999992994126</v>
      </c>
      <c r="F11" s="29">
        <v>36</v>
      </c>
    </row>
    <row r="12" spans="1:7" x14ac:dyDescent="0.25">
      <c r="A12" s="30" t="s">
        <v>47</v>
      </c>
      <c r="B12" s="31">
        <v>49</v>
      </c>
      <c r="C12" s="32">
        <v>221.41666667815301</v>
      </c>
      <c r="D12" s="32">
        <v>4.5187074832276117</v>
      </c>
      <c r="E12" s="31">
        <v>7971.0000004135072</v>
      </c>
      <c r="F12" s="33">
        <v>36</v>
      </c>
    </row>
    <row r="13" spans="1:7" x14ac:dyDescent="0.25">
      <c r="A13" s="26" t="s">
        <v>48</v>
      </c>
      <c r="B13" s="27">
        <v>55</v>
      </c>
      <c r="C13" s="28">
        <v>250.16666666569651</v>
      </c>
      <c r="D13" s="28">
        <v>4.5484848484672096</v>
      </c>
      <c r="E13" s="27">
        <v>9005.9999999650754</v>
      </c>
      <c r="F13" s="29">
        <v>36</v>
      </c>
    </row>
    <row r="14" spans="1:7" x14ac:dyDescent="0.25">
      <c r="A14" s="30" t="s">
        <v>49</v>
      </c>
      <c r="B14" s="31">
        <v>61</v>
      </c>
      <c r="C14" s="32">
        <v>280.25000001658918</v>
      </c>
      <c r="D14" s="32">
        <v>4.5942622953539214</v>
      </c>
      <c r="E14" s="31">
        <v>10089.000000597211</v>
      </c>
      <c r="F14" s="33">
        <v>36</v>
      </c>
    </row>
    <row r="15" spans="1:7" x14ac:dyDescent="0.25">
      <c r="A15" s="26" t="s">
        <v>50</v>
      </c>
      <c r="B15" s="27">
        <v>52</v>
      </c>
      <c r="C15" s="28">
        <v>196.33333329623571</v>
      </c>
      <c r="D15" s="28">
        <v>3.7756410249276091</v>
      </c>
      <c r="E15" s="27">
        <v>7067.9999986644834</v>
      </c>
      <c r="F15" s="29">
        <v>36</v>
      </c>
    </row>
    <row r="16" spans="1:7" x14ac:dyDescent="0.25">
      <c r="A16" s="30" t="s">
        <v>51</v>
      </c>
      <c r="B16" s="31">
        <v>49</v>
      </c>
      <c r="C16" s="32">
        <v>221.83333331947989</v>
      </c>
      <c r="D16" s="32">
        <v>4.5272108840710192</v>
      </c>
      <c r="E16" s="31">
        <v>7985.9999995012777</v>
      </c>
      <c r="F16" s="33">
        <v>36</v>
      </c>
    </row>
    <row r="17" spans="1:7" x14ac:dyDescent="0.25">
      <c r="A17" s="26" t="s">
        <v>52</v>
      </c>
      <c r="B17" s="27">
        <v>46</v>
      </c>
      <c r="C17" s="28">
        <v>190.50000000954611</v>
      </c>
      <c r="D17" s="28">
        <v>4.1413043480336098</v>
      </c>
      <c r="E17" s="27">
        <v>6858.000000343658</v>
      </c>
      <c r="F17" s="29">
        <v>36</v>
      </c>
    </row>
    <row r="18" spans="1:7" x14ac:dyDescent="0.25">
      <c r="A18" s="30" t="s">
        <v>53</v>
      </c>
      <c r="B18" s="31">
        <v>38</v>
      </c>
      <c r="C18" s="32">
        <v>166.75000000366711</v>
      </c>
      <c r="D18" s="32">
        <v>4.388157894833344</v>
      </c>
      <c r="E18" s="31">
        <v>6003.000000132015</v>
      </c>
      <c r="F18" s="33">
        <v>36</v>
      </c>
    </row>
    <row r="19" spans="1:7" x14ac:dyDescent="0.25">
      <c r="A19" s="26" t="s">
        <v>54</v>
      </c>
      <c r="B19" s="27">
        <v>12</v>
      </c>
      <c r="C19" s="28">
        <v>48.333333350485191</v>
      </c>
      <c r="D19" s="28">
        <v>4.0277777792070992</v>
      </c>
      <c r="E19" s="27">
        <v>1740.0000006174671</v>
      </c>
      <c r="F19" s="29">
        <v>36</v>
      </c>
    </row>
    <row r="22" spans="1:7" ht="18" customHeight="1" x14ac:dyDescent="0.25">
      <c r="A22" s="37" t="s">
        <v>36</v>
      </c>
      <c r="B22" s="36"/>
      <c r="C22" s="36"/>
      <c r="D22" s="36"/>
      <c r="E22" s="36"/>
      <c r="F22" s="36"/>
      <c r="G22" s="36"/>
    </row>
    <row r="23" spans="1:7" ht="31.95" customHeight="1" x14ac:dyDescent="0.25">
      <c r="A23" s="34"/>
      <c r="B23" s="2" t="s">
        <v>2</v>
      </c>
      <c r="C23" s="2" t="s">
        <v>3</v>
      </c>
      <c r="D23" s="2" t="s">
        <v>13</v>
      </c>
      <c r="E23" s="2" t="s">
        <v>4</v>
      </c>
      <c r="F23" s="2" t="s">
        <v>5</v>
      </c>
      <c r="G23" s="2" t="s">
        <v>6</v>
      </c>
    </row>
    <row r="24" spans="1:7" x14ac:dyDescent="0.25">
      <c r="A24" s="13" t="s">
        <v>7</v>
      </c>
      <c r="B24" s="14">
        <v>17</v>
      </c>
      <c r="C24" s="15">
        <v>49.529411764705877</v>
      </c>
      <c r="D24" s="15">
        <v>217.0245098050024</v>
      </c>
      <c r="E24" s="15">
        <v>4.3523078578790431</v>
      </c>
      <c r="F24" s="14">
        <v>132819.0000006615</v>
      </c>
      <c r="G24" s="16">
        <v>36</v>
      </c>
    </row>
    <row r="25" spans="1:7" x14ac:dyDescent="0.25">
      <c r="A25" s="17" t="s">
        <v>8</v>
      </c>
      <c r="B25" s="18">
        <v>14</v>
      </c>
      <c r="C25" s="19">
        <v>62.25</v>
      </c>
      <c r="D25" s="19">
        <v>311.25</v>
      </c>
      <c r="E25" s="19">
        <v>5</v>
      </c>
      <c r="F25" s="18">
        <v>156870</v>
      </c>
      <c r="G25" s="20">
        <v>36</v>
      </c>
    </row>
    <row r="27" spans="1:7" x14ac:dyDescent="0.25">
      <c r="A27" s="21" t="s">
        <v>14</v>
      </c>
      <c r="B27" s="22">
        <f t="shared" ref="B27:G27" si="0">B24-B25</f>
        <v>3</v>
      </c>
      <c r="C27" s="23">
        <f t="shared" si="0"/>
        <v>-12.720588235294123</v>
      </c>
      <c r="D27" s="23">
        <f t="shared" si="0"/>
        <v>-94.225490194997604</v>
      </c>
      <c r="E27" s="23">
        <f t="shared" si="0"/>
        <v>-0.64769214212095694</v>
      </c>
      <c r="F27" s="22">
        <f t="shared" si="0"/>
        <v>-24050.999999338499</v>
      </c>
      <c r="G27" s="24">
        <f t="shared" si="0"/>
        <v>0</v>
      </c>
    </row>
    <row r="28" spans="1:7" x14ac:dyDescent="0.25">
      <c r="A28" s="21" t="s">
        <v>15</v>
      </c>
      <c r="B28" s="25">
        <f t="shared" ref="B28:G28" si="1">IF(B25=0,"",(B24-B25)/B25)</f>
        <v>0.21428571428571427</v>
      </c>
      <c r="C28" s="25">
        <f t="shared" si="1"/>
        <v>-0.20434679896054816</v>
      </c>
      <c r="D28" s="25">
        <f t="shared" si="1"/>
        <v>-0.30273249861846618</v>
      </c>
      <c r="E28" s="25">
        <f t="shared" si="1"/>
        <v>-0.12953842842419139</v>
      </c>
      <c r="F28" s="25">
        <f t="shared" si="1"/>
        <v>-0.15331803403670874</v>
      </c>
      <c r="G28" s="25">
        <f t="shared" si="1"/>
        <v>0</v>
      </c>
    </row>
  </sheetData>
  <mergeCells count="2"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rightToLeft="1" workbookViewId="0"/>
  </sheetViews>
  <sheetFormatPr defaultRowHeight="13.8" x14ac:dyDescent="0.25"/>
  <cols>
    <col min="1" max="1" width="13" customWidth="1"/>
    <col min="2" max="2" width="12" customWidth="1"/>
    <col min="3" max="3" width="18" customWidth="1"/>
    <col min="4" max="4" width="16" customWidth="1"/>
    <col min="5" max="5" width="14" customWidth="1"/>
    <col min="6" max="6" width="22" customWidth="1"/>
    <col min="7" max="7" width="24" customWidth="1"/>
  </cols>
  <sheetData>
    <row r="1" spans="1:7" ht="24" customHeight="1" x14ac:dyDescent="0.25">
      <c r="A1" s="39" t="s">
        <v>55</v>
      </c>
      <c r="B1" s="36"/>
      <c r="C1" s="36"/>
      <c r="D1" s="36"/>
      <c r="E1" s="36"/>
      <c r="F1" s="36"/>
      <c r="G1" s="36"/>
    </row>
    <row r="2" spans="1:7" ht="18" customHeight="1" x14ac:dyDescent="0.25">
      <c r="A2" s="1" t="s">
        <v>17</v>
      </c>
      <c r="B2" s="1" t="s">
        <v>18</v>
      </c>
      <c r="C2" s="1" t="s">
        <v>19</v>
      </c>
      <c r="D2" s="1" t="s">
        <v>4</v>
      </c>
      <c r="E2" s="1" t="s">
        <v>5</v>
      </c>
      <c r="F2" s="1" t="s">
        <v>6</v>
      </c>
    </row>
    <row r="3" spans="1:7" x14ac:dyDescent="0.25">
      <c r="A3" s="26" t="s">
        <v>56</v>
      </c>
      <c r="B3" s="27">
        <v>10</v>
      </c>
      <c r="C3" s="28">
        <v>47.249999999592553</v>
      </c>
      <c r="D3" s="28">
        <v>4.7249999999592536</v>
      </c>
      <c r="E3" s="27">
        <v>1700.9999999853319</v>
      </c>
      <c r="F3" s="29">
        <v>36</v>
      </c>
    </row>
    <row r="4" spans="1:7" x14ac:dyDescent="0.25">
      <c r="A4" s="30" t="s">
        <v>57</v>
      </c>
      <c r="B4" s="31">
        <v>10</v>
      </c>
      <c r="C4" s="32">
        <v>43.499999993480742</v>
      </c>
      <c r="D4" s="32">
        <v>4.349999999348074</v>
      </c>
      <c r="E4" s="31">
        <v>1565.9999997653069</v>
      </c>
      <c r="F4" s="33">
        <v>36</v>
      </c>
    </row>
    <row r="5" spans="1:7" x14ac:dyDescent="0.25">
      <c r="A5" s="26" t="s">
        <v>58</v>
      </c>
      <c r="B5" s="27">
        <v>18</v>
      </c>
      <c r="C5" s="28">
        <v>89.283333354396746</v>
      </c>
      <c r="D5" s="28">
        <v>4.9601851863553748</v>
      </c>
      <c r="E5" s="27">
        <v>3214.2000007582828</v>
      </c>
      <c r="F5" s="29">
        <v>36</v>
      </c>
    </row>
    <row r="6" spans="1:7" x14ac:dyDescent="0.25">
      <c r="A6" s="30" t="s">
        <v>59</v>
      </c>
      <c r="B6" s="31">
        <v>18</v>
      </c>
      <c r="C6" s="32">
        <v>99.000000001047738</v>
      </c>
      <c r="D6" s="32">
        <v>5.5000000000582077</v>
      </c>
      <c r="E6" s="31">
        <v>3564.000000037719</v>
      </c>
      <c r="F6" s="33">
        <v>36</v>
      </c>
    </row>
    <row r="7" spans="1:7" x14ac:dyDescent="0.25">
      <c r="A7" s="26" t="s">
        <v>60</v>
      </c>
      <c r="B7" s="27">
        <v>14</v>
      </c>
      <c r="C7" s="28">
        <v>53.750000000814907</v>
      </c>
      <c r="D7" s="28">
        <v>3.8392857143439221</v>
      </c>
      <c r="E7" s="27">
        <v>1935.0000000293369</v>
      </c>
      <c r="F7" s="29">
        <v>36</v>
      </c>
    </row>
    <row r="10" spans="1:7" ht="18" customHeight="1" x14ac:dyDescent="0.25">
      <c r="A10" s="37" t="s">
        <v>36</v>
      </c>
      <c r="B10" s="36"/>
      <c r="C10" s="36"/>
      <c r="D10" s="36"/>
      <c r="E10" s="36"/>
      <c r="F10" s="36"/>
      <c r="G10" s="36"/>
    </row>
    <row r="11" spans="1:7" ht="31.95" customHeight="1" x14ac:dyDescent="0.25">
      <c r="A11" s="34"/>
      <c r="B11" s="2" t="s">
        <v>2</v>
      </c>
      <c r="C11" s="2" t="s">
        <v>3</v>
      </c>
      <c r="D11" s="2" t="s">
        <v>13</v>
      </c>
      <c r="E11" s="2" t="s">
        <v>4</v>
      </c>
      <c r="F11" s="2" t="s">
        <v>5</v>
      </c>
      <c r="G11" s="2" t="s">
        <v>6</v>
      </c>
    </row>
    <row r="12" spans="1:7" x14ac:dyDescent="0.25">
      <c r="A12" s="13" t="s">
        <v>7</v>
      </c>
      <c r="B12" s="14">
        <v>5</v>
      </c>
      <c r="C12" s="15">
        <v>14</v>
      </c>
      <c r="D12" s="15">
        <v>66.55666666986653</v>
      </c>
      <c r="E12" s="15">
        <v>4.6748941800129664</v>
      </c>
      <c r="F12" s="14">
        <v>11980.20000057598</v>
      </c>
      <c r="G12" s="16">
        <v>36</v>
      </c>
    </row>
    <row r="13" spans="1:7" x14ac:dyDescent="0.25">
      <c r="A13" s="17" t="s">
        <v>8</v>
      </c>
      <c r="B13" s="18">
        <v>9</v>
      </c>
      <c r="C13" s="19">
        <v>62.25</v>
      </c>
      <c r="D13" s="19">
        <v>326.8125</v>
      </c>
      <c r="E13" s="19">
        <v>5.25</v>
      </c>
      <c r="F13" s="18">
        <v>105887.25</v>
      </c>
      <c r="G13" s="20">
        <v>36</v>
      </c>
    </row>
    <row r="15" spans="1:7" x14ac:dyDescent="0.25">
      <c r="A15" s="21" t="s">
        <v>14</v>
      </c>
      <c r="B15" s="22">
        <f t="shared" ref="B15:G15" si="0">B12-B13</f>
        <v>-4</v>
      </c>
      <c r="C15" s="23">
        <f t="shared" si="0"/>
        <v>-48.25</v>
      </c>
      <c r="D15" s="23">
        <f t="shared" si="0"/>
        <v>-260.25583333013344</v>
      </c>
      <c r="E15" s="23">
        <f t="shared" si="0"/>
        <v>-0.57510581998703358</v>
      </c>
      <c r="F15" s="22">
        <f t="shared" si="0"/>
        <v>-93907.049999424024</v>
      </c>
      <c r="G15" s="24">
        <f t="shared" si="0"/>
        <v>0</v>
      </c>
    </row>
    <row r="16" spans="1:7" x14ac:dyDescent="0.25">
      <c r="A16" s="21" t="s">
        <v>15</v>
      </c>
      <c r="B16" s="25">
        <f t="shared" ref="B16:G16" si="1">IF(B13=0,"",(B12-B13)/B13)</f>
        <v>-0.44444444444444442</v>
      </c>
      <c r="C16" s="25">
        <f t="shared" si="1"/>
        <v>-0.77510040160642568</v>
      </c>
      <c r="D16" s="25">
        <f t="shared" si="1"/>
        <v>-0.79634601898683022</v>
      </c>
      <c r="E16" s="25">
        <f t="shared" si="1"/>
        <v>-0.10954396571181592</v>
      </c>
      <c r="F16" s="25">
        <f t="shared" si="1"/>
        <v>-0.88685889943712792</v>
      </c>
      <c r="G16" s="25">
        <f t="shared" si="1"/>
        <v>0</v>
      </c>
    </row>
  </sheetData>
  <mergeCells count="2">
    <mergeCell ref="A1:G1"/>
    <mergeCell ref="A10:G1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32CB9F-AE1C-4EE0-943B-9157D16EEF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171586-1276-4147-a472-75ee4e8864b8"/>
    <ds:schemaRef ds:uri="9f5944b6-fab9-47ef-9172-7602c374c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3F6753-3696-4A15-80E3-EFB2485247BD}">
  <ds:schemaRefs>
    <ds:schemaRef ds:uri="http://schemas.microsoft.com/office/2006/metadata/properties"/>
    <ds:schemaRef ds:uri="http://schemas.microsoft.com/office/infopath/2007/PartnerControls"/>
    <ds:schemaRef ds:uri="9f5944b6-fab9-47ef-9172-7602c374cd8e"/>
    <ds:schemaRef ds:uri="3b171586-1276-4147-a472-75ee4e8864b8"/>
  </ds:schemaRefs>
</ds:datastoreItem>
</file>

<file path=customXml/itemProps3.xml><?xml version="1.0" encoding="utf-8"?>
<ds:datastoreItem xmlns:ds="http://schemas.openxmlformats.org/officeDocument/2006/customXml" ds:itemID="{6C435B0F-3778-4BCA-956D-0CAB7F9320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מינואר עד כה</vt:lpstr>
      <vt:lpstr>ינואר</vt:lpstr>
      <vt:lpstr>פברואר</vt:lpstr>
      <vt:lpstr>מרץ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דרור נדל</cp:lastModifiedBy>
  <dcterms:created xsi:type="dcterms:W3CDTF">2026-04-20T10:26:25Z</dcterms:created>
  <dcterms:modified xsi:type="dcterms:W3CDTF">2026-04-21T07:01:18Z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  <property fmtid="{D5CDD505-2E9C-101B-9397-08002B2CF9AE}" pid="3" name="MediaServiceImageTags">
    <vt:lpwstr/>
  </property>
</Properties>
</file>