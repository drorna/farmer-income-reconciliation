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נתונים מרוכזים/"/>
    </mc:Choice>
  </mc:AlternateContent>
  <xr:revisionPtr revIDLastSave="1348" documentId="8_{0E6B3A9E-2337-4097-BDBD-6AD328F3C144}" xr6:coauthVersionLast="47" xr6:coauthVersionMax="47" xr10:uidLastSave="{E02A6B53-F97E-4473-96CE-2A697D6263BE}"/>
  <bookViews>
    <workbookView xWindow="-108" yWindow="-108" windowWidth="23256" windowHeight="12456" activeTab="7" xr2:uid="{510D9A02-ABC1-4C17-824E-A22DAD80EF05}"/>
  </bookViews>
  <sheets>
    <sheet name="מרכז חשבוניות ינואר 2026" sheetId="1" r:id="rId1"/>
    <sheet name="חצבה" sheetId="2" r:id="rId2"/>
    <sheet name="גולן" sheetId="3" r:id="rId3"/>
    <sheet name="תבור" sheetId="4" r:id="rId4"/>
    <sheet name="ניצנים" sheetId="5" r:id="rId5"/>
    <sheet name="אשכול" sheetId="6" r:id="rId6"/>
    <sheet name="ניצנה" sheetId="7" r:id="rId7"/>
    <sheet name="גליל עליון" sheetId="8" r:id="rId8"/>
    <sheet name="פרטי חקלאים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J53" i="1"/>
  <c r="J51" i="1"/>
  <c r="J49" i="1"/>
  <c r="J57" i="1"/>
  <c r="J59" i="1"/>
  <c r="J61" i="1"/>
  <c r="J63" i="1"/>
  <c r="I68" i="2"/>
  <c r="I67" i="2"/>
  <c r="J12" i="4" l="1"/>
  <c r="J11" i="4"/>
  <c r="I4" i="5"/>
  <c r="I3" i="5"/>
  <c r="I2" i="5"/>
  <c r="J9" i="3" l="1"/>
  <c r="J8" i="3"/>
  <c r="J7" i="3"/>
  <c r="J6" i="3"/>
  <c r="J5" i="3"/>
  <c r="D49" i="4" l="1"/>
  <c r="D50" i="4"/>
  <c r="D51" i="4"/>
  <c r="D48" i="4"/>
  <c r="F48" i="4" s="1"/>
  <c r="C15" i="4" l="1"/>
  <c r="C14" i="4"/>
  <c r="J81" i="1"/>
  <c r="J103" i="1"/>
  <c r="D64" i="5" l="1"/>
  <c r="J101" i="1"/>
  <c r="J153" i="1"/>
  <c r="J151" i="1"/>
  <c r="J149" i="1"/>
  <c r="J147" i="1"/>
  <c r="J155" i="1"/>
  <c r="J157" i="1"/>
  <c r="J145" i="1"/>
  <c r="J143" i="1"/>
  <c r="J141" i="1"/>
  <c r="J139" i="1"/>
  <c r="D69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6" i="7"/>
  <c r="C56" i="7" s="1"/>
  <c r="J79" i="1" l="1"/>
  <c r="D59" i="4"/>
  <c r="D75" i="4" s="1"/>
  <c r="C44" i="7" l="1"/>
  <c r="C41" i="7"/>
  <c r="D12" i="7"/>
  <c r="D11" i="7"/>
  <c r="C10" i="7" l="1"/>
  <c r="C57" i="7"/>
  <c r="C58" i="7"/>
  <c r="C48" i="7"/>
  <c r="C49" i="7"/>
  <c r="C50" i="7"/>
  <c r="C51" i="7"/>
  <c r="C52" i="7"/>
  <c r="C53" i="7"/>
  <c r="C54" i="7"/>
  <c r="C55" i="7"/>
  <c r="C47" i="7"/>
  <c r="J181" i="1"/>
  <c r="J179" i="1"/>
  <c r="C60" i="7"/>
  <c r="C61" i="7"/>
  <c r="C59" i="7"/>
  <c r="J177" i="1"/>
  <c r="J175" i="1"/>
  <c r="J173" i="1"/>
  <c r="J171" i="1"/>
  <c r="J169" i="1"/>
  <c r="C46" i="7" l="1"/>
  <c r="C45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9" i="7"/>
  <c r="C8" i="7"/>
  <c r="C7" i="7"/>
  <c r="C6" i="7"/>
  <c r="C5" i="7"/>
  <c r="C4" i="7"/>
  <c r="C3" i="7"/>
  <c r="C2" i="7"/>
  <c r="J99" i="1" l="1"/>
  <c r="J97" i="1"/>
  <c r="J95" i="1"/>
  <c r="J77" i="1"/>
  <c r="J75" i="1"/>
  <c r="J123" i="1"/>
  <c r="J121" i="1"/>
  <c r="J125" i="1"/>
  <c r="J127" i="1"/>
  <c r="D195" i="2"/>
  <c r="D67" i="2"/>
  <c r="C69" i="2"/>
  <c r="C91" i="2"/>
  <c r="C92" i="2"/>
  <c r="C91" i="3"/>
  <c r="C90" i="3"/>
  <c r="C89" i="3"/>
  <c r="C88" i="3"/>
  <c r="C87" i="3"/>
  <c r="C86" i="3"/>
  <c r="C85" i="3"/>
  <c r="C97" i="3"/>
  <c r="C96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D67" i="3"/>
  <c r="D92" i="3" s="1"/>
  <c r="C92" i="3" s="1"/>
  <c r="B67" i="3"/>
  <c r="B92" i="3" s="1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67" i="3" l="1"/>
  <c r="C73" i="4"/>
  <c r="C72" i="4"/>
  <c r="C71" i="4"/>
  <c r="C70" i="4"/>
  <c r="C69" i="4"/>
  <c r="C68" i="4"/>
  <c r="C67" i="4"/>
  <c r="C66" i="4"/>
  <c r="C65" i="4"/>
  <c r="C58" i="4"/>
  <c r="C57" i="4"/>
  <c r="C56" i="4"/>
  <c r="C55" i="4"/>
  <c r="C54" i="4"/>
  <c r="C53" i="4"/>
  <c r="C52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3" i="4"/>
  <c r="C12" i="4"/>
  <c r="C11" i="4"/>
  <c r="C10" i="4"/>
  <c r="C9" i="4"/>
  <c r="C8" i="4"/>
  <c r="C7" i="4"/>
  <c r="C6" i="4"/>
  <c r="C5" i="4"/>
  <c r="C4" i="4"/>
  <c r="C3" i="4"/>
  <c r="C2" i="4"/>
  <c r="C62" i="5" l="1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J189" i="1" l="1"/>
  <c r="J187" i="1"/>
  <c r="J185" i="1"/>
  <c r="J39" i="1" l="1"/>
  <c r="J93" i="1" l="1"/>
  <c r="J91" i="1"/>
  <c r="J89" i="1"/>
  <c r="J73" i="1" l="1"/>
  <c r="J71" i="1"/>
  <c r="J69" i="1"/>
  <c r="J67" i="1"/>
  <c r="J137" i="1" l="1"/>
  <c r="J135" i="1"/>
  <c r="J167" i="1"/>
  <c r="J165" i="1" l="1"/>
  <c r="J119" i="1" l="1"/>
  <c r="J111" i="1"/>
  <c r="J113" i="1"/>
  <c r="J115" i="1"/>
  <c r="J109" i="1"/>
  <c r="J163" i="1" l="1"/>
  <c r="J161" i="1"/>
  <c r="J159" i="1"/>
  <c r="K198" i="1" s="1"/>
  <c r="J129" i="1"/>
  <c r="J65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J7" i="1"/>
  <c r="J183" i="1"/>
  <c r="K199" i="1" s="1"/>
  <c r="J87" i="1" l="1"/>
  <c r="J200" i="1" l="1"/>
  <c r="L199" i="1"/>
  <c r="J133" i="1"/>
  <c r="J131" i="1"/>
  <c r="K197" i="1" s="1"/>
  <c r="L197" i="1" s="1"/>
  <c r="J117" i="1"/>
  <c r="J107" i="1"/>
  <c r="J105" i="1"/>
  <c r="J85" i="1"/>
  <c r="J83" i="1"/>
  <c r="K193" i="1"/>
  <c r="J47" i="1"/>
  <c r="J45" i="1"/>
  <c r="J43" i="1"/>
  <c r="J41" i="1"/>
  <c r="J9" i="1"/>
  <c r="J5" i="1"/>
  <c r="J3" i="1"/>
  <c r="L59" i="1" l="1"/>
  <c r="K194" i="1"/>
  <c r="L194" i="1" s="1"/>
  <c r="K196" i="1"/>
  <c r="L193" i="1"/>
  <c r="K195" i="1"/>
  <c r="L195" i="1" s="1"/>
  <c r="L196" i="1"/>
  <c r="L198" i="1"/>
  <c r="L200" i="1" l="1"/>
  <c r="K200" i="1"/>
  <c r="J201" i="1"/>
  <c r="J202" i="1" s="1"/>
</calcChain>
</file>

<file path=xl/sharedStrings.xml><?xml version="1.0" encoding="utf-8"?>
<sst xmlns="http://schemas.openxmlformats.org/spreadsheetml/2006/main" count="1509" uniqueCount="553">
  <si>
    <t>שם לקוח</t>
  </si>
  <si>
    <t>מספר לקוח</t>
  </si>
  <si>
    <t>פרטים+תאריך</t>
  </si>
  <si>
    <t>כמות</t>
  </si>
  <si>
    <t>תעריף+חודש</t>
  </si>
  <si>
    <t>סהכ</t>
  </si>
  <si>
    <t>נטורזה גד"ש בע"מ</t>
  </si>
  <si>
    <t>לסגירה גורפת</t>
  </si>
  <si>
    <r>
      <t>2.90.900.950-01</t>
    </r>
    <r>
      <rPr>
        <sz val="11"/>
        <color indexed="10"/>
        <rFont val="Arial"/>
        <family val="2"/>
      </rPr>
      <t/>
    </r>
  </si>
  <si>
    <t xml:space="preserve"> מיזם חקלאי - </t>
  </si>
  <si>
    <t xml:space="preserve">מיזם חקלאי - </t>
  </si>
  <si>
    <t>עמית מאיר</t>
  </si>
  <si>
    <t>מיזם חקלאי -</t>
  </si>
  <si>
    <t>אלי מורן</t>
  </si>
  <si>
    <t xml:space="preserve">משק גל </t>
  </si>
  <si>
    <t>משק בוקס בע"מ</t>
  </si>
  <si>
    <t>פרסקו חצבה 2006 בע"מ</t>
  </si>
  <si>
    <t>איתן ברנס</t>
  </si>
  <si>
    <t>דב מאיר</t>
  </si>
  <si>
    <t>שירותי האבקה יש מרדכי אגש"ח</t>
  </si>
  <si>
    <t>משק נבו</t>
  </si>
  <si>
    <t>משק שפר לויטה</t>
  </si>
  <si>
    <t>2.90.900.950-03</t>
  </si>
  <si>
    <t>זית גלילי</t>
  </si>
  <si>
    <t>ברטה בש</t>
  </si>
  <si>
    <t>החקלאית</t>
  </si>
  <si>
    <t>מיזם חקלאי</t>
  </si>
  <si>
    <t>אנגל בקר</t>
  </si>
  <si>
    <t>עין דור 2000 אגשח בעמ (גד"ש)</t>
  </si>
  <si>
    <t>כרם חוות השומר</t>
  </si>
  <si>
    <t xml:space="preserve">מיזם חקלאי </t>
  </si>
  <si>
    <t>2.90.900.950-04</t>
  </si>
  <si>
    <t>שיווק משק מילוא</t>
  </si>
  <si>
    <t>משק חביביאן בע"מ</t>
  </si>
  <si>
    <t>רוני אברהמי</t>
  </si>
  <si>
    <t>עסקים קשת</t>
  </si>
  <si>
    <t>2.90.900.950-02</t>
  </si>
  <si>
    <t>רפת צפון הגולן</t>
  </si>
  <si>
    <t>ענבי רמת הגולן</t>
  </si>
  <si>
    <t>עמיאל פירות יער בע"מ</t>
  </si>
  <si>
    <t>חקלאות בנטל אגש"ח</t>
  </si>
  <si>
    <t>מיכל אלטמן</t>
  </si>
  <si>
    <t>קיבוץ אורטל</t>
  </si>
  <si>
    <t>2.90.900.950-10</t>
  </si>
  <si>
    <t>פרדס חברים</t>
  </si>
  <si>
    <t>לוזון אבנר</t>
  </si>
  <si>
    <t>רמי נוימן</t>
  </si>
  <si>
    <t>2.90.900.950-06</t>
  </si>
  <si>
    <t>יהודה</t>
  </si>
  <si>
    <t>יאיר טייץ</t>
  </si>
  <si>
    <t>מטע קיבוץ יראון</t>
  </si>
  <si>
    <t xml:space="preserve">מיזם חקלאי -  </t>
  </si>
  <si>
    <t>2.90.900.950-21</t>
  </si>
  <si>
    <t>סה"כ בדוח דיווח</t>
  </si>
  <si>
    <t>סה"כ בקובץ</t>
  </si>
  <si>
    <t>פער</t>
  </si>
  <si>
    <t>ניצנים</t>
  </si>
  <si>
    <t>תבור</t>
  </si>
  <si>
    <t>חצבה</t>
  </si>
  <si>
    <t>גולן</t>
  </si>
  <si>
    <t>אשכול</t>
  </si>
  <si>
    <t>ניצנה</t>
  </si>
  <si>
    <t>יראון</t>
  </si>
  <si>
    <t>סה"כ לפי קובץ תכניות</t>
  </si>
  <si>
    <t>סה"כ קובץ מרכז</t>
  </si>
  <si>
    <t>570024851</t>
  </si>
  <si>
    <t>mata@kortal.org.il</t>
  </si>
  <si>
    <t>570028142</t>
  </si>
  <si>
    <t>galit.mata@gmail.com</t>
  </si>
  <si>
    <t>32892846</t>
  </si>
  <si>
    <t>michalginon78@gmail.com</t>
  </si>
  <si>
    <t>570043489</t>
  </si>
  <si>
    <t>557680782</t>
  </si>
  <si>
    <t>matakeshet5@gmail.com</t>
  </si>
  <si>
    <t>570031096</t>
  </si>
  <si>
    <t>סה"כ שעות לחיוב</t>
  </si>
  <si>
    <t>אורטל</t>
  </si>
  <si>
    <t>גלית בוט -אל -רום-ע</t>
  </si>
  <si>
    <t>מיכל אלטמן -גבעת יואב-ע</t>
  </si>
  <si>
    <t>מרום גולן</t>
  </si>
  <si>
    <t>עמי ברקוביץ שעל</t>
  </si>
  <si>
    <t>קשת</t>
  </si>
  <si>
    <t>רפת</t>
  </si>
  <si>
    <t>מס' משובצים</t>
  </si>
  <si>
    <t>16713307</t>
  </si>
  <si>
    <t>ofirb83@gmail.com</t>
  </si>
  <si>
    <t>renananetzer@gmail.com</t>
  </si>
  <si>
    <t>514171727</t>
  </si>
  <si>
    <t>shailavi59@gmail.com</t>
  </si>
  <si>
    <t>0507822156</t>
  </si>
  <si>
    <t>27126325</t>
  </si>
  <si>
    <t>shirlysh11@gmail.com</t>
  </si>
  <si>
    <t>0508557660</t>
  </si>
  <si>
    <t>54902135</t>
  </si>
  <si>
    <t>simon-99@zahav.net.il</t>
  </si>
  <si>
    <t>0507241416</t>
  </si>
  <si>
    <t>515285617</t>
  </si>
  <si>
    <t>yoash20@netvision.net.il</t>
  </si>
  <si>
    <t>הדר בכפר בע"מ</t>
  </si>
  <si>
    <t>0503263046</t>
  </si>
  <si>
    <t>515178689</t>
  </si>
  <si>
    <t>farmyariv@gmail.com</t>
  </si>
  <si>
    <t>050-2412360</t>
  </si>
  <si>
    <t>514515741</t>
  </si>
  <si>
    <t>fieldagro@havivian77.com</t>
  </si>
  <si>
    <t>0525618207</t>
  </si>
  <si>
    <t>57708349</t>
  </si>
  <si>
    <t>roniginun13@gmail.com</t>
  </si>
  <si>
    <t>איתן</t>
  </si>
  <si>
    <t>0523926923</t>
  </si>
  <si>
    <t>22614424</t>
  </si>
  <si>
    <t>pardesdn@hotmail.com</t>
  </si>
  <si>
    <t>mazkirut@sdenitzan.co.il</t>
  </si>
  <si>
    <t>0523251107</t>
  </si>
  <si>
    <t>558528071</t>
  </si>
  <si>
    <t>0547737585</t>
  </si>
  <si>
    <t>53376257</t>
  </si>
  <si>
    <t>rami.noiman@gmail.com</t>
  </si>
  <si>
    <t>סה"כ</t>
  </si>
  <si>
    <t>יהודה - אשלים</t>
  </si>
  <si>
    <t>יריב מילוא כמהין</t>
  </si>
  <si>
    <t>0528308454</t>
  </si>
  <si>
    <t>0585194194</t>
  </si>
  <si>
    <t>0504037222</t>
  </si>
  <si>
    <t>0506702734</t>
  </si>
  <si>
    <t>0505713052</t>
  </si>
  <si>
    <t>0528348596</t>
  </si>
  <si>
    <t>570027276</t>
  </si>
  <si>
    <t>matafares@albsh.co.il</t>
  </si>
  <si>
    <t>אלוני הבשן</t>
  </si>
  <si>
    <t>asafbux@gmail.com</t>
  </si>
  <si>
    <t>0522561308</t>
  </si>
  <si>
    <t>513768853</t>
  </si>
  <si>
    <t>0508818302</t>
  </si>
  <si>
    <t>itaigal@arava.co.il</t>
  </si>
  <si>
    <t>0523666063</t>
  </si>
  <si>
    <t>22561385</t>
  </si>
  <si>
    <t>משק גל</t>
  </si>
  <si>
    <t>dror@frescofarm.co.il</t>
  </si>
  <si>
    <t>513836866</t>
  </si>
  <si>
    <t>eitanabc@hotmail.com</t>
  </si>
  <si>
    <t>0523666620</t>
  </si>
  <si>
    <t>43103779</t>
  </si>
  <si>
    <t>עידן</t>
  </si>
  <si>
    <t>elimoran61@gmail.com</t>
  </si>
  <si>
    <t>0523666011</t>
  </si>
  <si>
    <t>051238269</t>
  </si>
  <si>
    <t>0523666078</t>
  </si>
  <si>
    <t>025258310</t>
  </si>
  <si>
    <t>bagg@zahav.net.il</t>
  </si>
  <si>
    <t>רמי שדה</t>
  </si>
  <si>
    <t>אוהד</t>
  </si>
  <si>
    <t>200273928</t>
  </si>
  <si>
    <t>meiramit06@gmail.com</t>
  </si>
  <si>
    <t>0546885146</t>
  </si>
  <si>
    <t>elitzur3@gmail.com</t>
  </si>
  <si>
    <t>043140359</t>
  </si>
  <si>
    <t>משק מוזס</t>
  </si>
  <si>
    <t>gn2084525@gmail.com</t>
  </si>
  <si>
    <t>0526265414</t>
  </si>
  <si>
    <t>51049484</t>
  </si>
  <si>
    <t>roy.bensmian@gmail.com</t>
  </si>
  <si>
    <t>0523796620</t>
  </si>
  <si>
    <t>570004390</t>
  </si>
  <si>
    <t>קיבוץ דברת</t>
  </si>
  <si>
    <t>לביא</t>
  </si>
  <si>
    <t>0506833319</t>
  </si>
  <si>
    <t>0506880559</t>
  </si>
  <si>
    <t>איתי גל עין יהב</t>
  </si>
  <si>
    <t>אלי מורן -חצבה-ע</t>
  </si>
  <si>
    <t>מרים נבו חצבה</t>
  </si>
  <si>
    <t>משק בוקס</t>
  </si>
  <si>
    <t>פרסקו- דרור שטרן</t>
  </si>
  <si>
    <t>צבי השכל -אלוני הבשן-ע</t>
  </si>
  <si>
    <t>איתן ברנס חצבה</t>
  </si>
  <si>
    <t>מיכה רז</t>
  </si>
  <si>
    <t>עמי אגמון</t>
  </si>
  <si>
    <t>עמית מאיר חצבה</t>
  </si>
  <si>
    <t>רמי שדה -עין יהב-ע</t>
  </si>
  <si>
    <t>מטע- קיבוץ יראון</t>
  </si>
  <si>
    <t>570007765</t>
  </si>
  <si>
    <t>mata.admin@yiron.co.il</t>
  </si>
  <si>
    <t>תאריך</t>
  </si>
  <si>
    <t>אסף שוורץ קיבוץ יראון</t>
  </si>
  <si>
    <t>אופיר בש-שדה אילן-ע</t>
  </si>
  <si>
    <t>חממת כדורי</t>
  </si>
  <si>
    <t>כרם קיבוץ עין דור</t>
  </si>
  <si>
    <t>מטע לביא - בית העמק</t>
  </si>
  <si>
    <t>רועי בן סמיאן דברת</t>
  </si>
  <si>
    <t>שי לביא -הושעיה-ע</t>
  </si>
  <si>
    <t>שמעון בן יעקב אילניה</t>
  </si>
  <si>
    <t>אופיר בש</t>
  </si>
  <si>
    <t>שי לביא</t>
  </si>
  <si>
    <t>(אל תשנה) משימה</t>
  </si>
  <si>
    <t>(אל תשנה) בדיקת סיכום של שורה</t>
  </si>
  <si>
    <t>(אל תשנה) Modified On</t>
  </si>
  <si>
    <t>שם</t>
  </si>
  <si>
    <t>איש קשר ראשי</t>
  </si>
  <si>
    <t>טלפון נייד ‏(איש קשר ראשי) ‏(איש קשר)</t>
  </si>
  <si>
    <t>יישוב</t>
  </si>
  <si>
    <t>מס' ח.פ / סמל מוסד ‏(תיק לקוח (משק)) ‏(תיק לקוח)</t>
  </si>
  <si>
    <t>שם לחשבונית ‏(תיק לקוח (משק)) ‏(תיק לקוח)</t>
  </si>
  <si>
    <t>מייל לחשבונית ‏(תיק לקוח (משק)) ‏(תיק לקוח)</t>
  </si>
  <si>
    <t>פרדס - חברים</t>
  </si>
  <si>
    <t>יעקוב שצרנסקי</t>
  </si>
  <si>
    <t>שדה ניצן</t>
  </si>
  <si>
    <t>גבעת יואב</t>
  </si>
  <si>
    <t>שדמות דבורה</t>
  </si>
  <si>
    <t>רוני אברהמי- אא</t>
  </si>
  <si>
    <t>שפיר</t>
  </si>
  <si>
    <t>רמי נויימן -תלמי יוסף-ע</t>
  </si>
  <si>
    <t>רמי נויימן</t>
  </si>
  <si>
    <t>תלמי יוסף</t>
  </si>
  <si>
    <t>שדה אילן</t>
  </si>
  <si>
    <t>צבי השכל</t>
  </si>
  <si>
    <t>גלית בוט</t>
  </si>
  <si>
    <t>אל -רום</t>
  </si>
  <si>
    <t>מיכל אלטמן גבעת יואב</t>
  </si>
  <si>
    <t>שחר פוקס</t>
  </si>
  <si>
    <t>כדורי</t>
  </si>
  <si>
    <t>מרים נבו</t>
  </si>
  <si>
    <t>0523666245</t>
  </si>
  <si>
    <t>4148409</t>
  </si>
  <si>
    <t>nevo@arava.co.il</t>
  </si>
  <si>
    <t>אבנר לוזון -אוהד-ע</t>
  </si>
  <si>
    <t>אבנר לוזון</t>
  </si>
  <si>
    <t>איתי גל</t>
  </si>
  <si>
    <t>עין יהב</t>
  </si>
  <si>
    <t>טל מור</t>
  </si>
  <si>
    <t>גיל ניר נתיב העשרה</t>
  </si>
  <si>
    <t>גיל ניר</t>
  </si>
  <si>
    <t>נתיב העשרה</t>
  </si>
  <si>
    <t>רועי בן סמיאן</t>
  </si>
  <si>
    <t>דברת</t>
  </si>
  <si>
    <t>עין דור 2000 אגשח בעמ קיבוץ עין דור</t>
  </si>
  <si>
    <t>0504047003</t>
  </si>
  <si>
    <t>עין דור</t>
  </si>
  <si>
    <t>570038950</t>
  </si>
  <si>
    <t>gadash@eindor.org.il</t>
  </si>
  <si>
    <t>דרור שטרן</t>
  </si>
  <si>
    <t>052-8666270</t>
  </si>
  <si>
    <t>גיורא שפר</t>
  </si>
  <si>
    <t>אנגל - בקר</t>
  </si>
  <si>
    <t>עמיר אנגל</t>
  </si>
  <si>
    <t>054-2073728</t>
  </si>
  <si>
    <t>רמת צבי</t>
  </si>
  <si>
    <t>55413330</t>
  </si>
  <si>
    <t>עמיר אנגל (בקר)</t>
  </si>
  <si>
    <t>איתן בר נס</t>
  </si>
  <si>
    <t>אליצור מוזס רתמים</t>
  </si>
  <si>
    <t>אליצור מוזס</t>
  </si>
  <si>
    <t>054-7712208</t>
  </si>
  <si>
    <t>רתמים</t>
  </si>
  <si>
    <t>שמעון בן יעקב</t>
  </si>
  <si>
    <t>אילנייה</t>
  </si>
  <si>
    <t>050-3862728</t>
  </si>
  <si>
    <t>הושעיה</t>
  </si>
  <si>
    <t>רפת צפון הגולן רפת צפון הגולן</t>
  </si>
  <si>
    <t>r4000000@gmail.com</t>
  </si>
  <si>
    <t>שרונה</t>
  </si>
  <si>
    <t>שירלי שורץ -שדמות דבורה</t>
  </si>
  <si>
    <t>שירלי שורץ</t>
  </si>
  <si>
    <t>אופיר בלאו</t>
  </si>
  <si>
    <t>052-6197701</t>
  </si>
  <si>
    <t>יהודה אנטמן</t>
  </si>
  <si>
    <t>אשלים</t>
  </si>
  <si>
    <t>34708842</t>
  </si>
  <si>
    <t>אסף שוורץ</t>
  </si>
  <si>
    <t>054-7484854</t>
  </si>
  <si>
    <t>משק חביביאן אא</t>
  </si>
  <si>
    <t>בועז חביביאן</t>
  </si>
  <si>
    <t>הודייה</t>
  </si>
  <si>
    <t>יואל ביתן איתן אא</t>
  </si>
  <si>
    <t>יואל ביטון</t>
  </si>
  <si>
    <t>כמהין</t>
  </si>
  <si>
    <t>אסף בוקס</t>
  </si>
  <si>
    <t>אחיה עמירם</t>
  </si>
  <si>
    <t>0503231026</t>
  </si>
  <si>
    <t>570007781</t>
  </si>
  <si>
    <t>מטעי לביא בית העמק</t>
  </si>
  <si>
    <t>lavifruit@gmail.com</t>
  </si>
  <si>
    <t>יריב מילוא</t>
  </si>
  <si>
    <t>עמיאל ברקוביץ</t>
  </si>
  <si>
    <t>0528337858</t>
  </si>
  <si>
    <t>שעל</t>
  </si>
  <si>
    <t>515624146</t>
  </si>
  <si>
    <t>petel10@013net.net</t>
  </si>
  <si>
    <t>אוריאל בן יצחק</t>
  </si>
  <si>
    <t>חיים לינרס</t>
  </si>
  <si>
    <t>0547917800</t>
  </si>
  <si>
    <t>319532909</t>
  </si>
  <si>
    <t>ביו-חיים</t>
  </si>
  <si>
    <t>קבוץ דברת</t>
  </si>
  <si>
    <t>ביו חיים</t>
  </si>
  <si>
    <t>פערי חישוב בגלל נקודה עשרונית</t>
  </si>
  <si>
    <t>חצבה 01/26</t>
  </si>
  <si>
    <t>תבור 01/26</t>
  </si>
  <si>
    <t>ניצנים 01/26</t>
  </si>
  <si>
    <t>גולן 01/26</t>
  </si>
  <si>
    <t>אשכול 01/26</t>
  </si>
  <si>
    <t>ניצנה 01/26</t>
  </si>
  <si>
    <t>יראון 01/26</t>
  </si>
  <si>
    <t>תעריף</t>
  </si>
  <si>
    <t>סה"כ תשלום</t>
  </si>
  <si>
    <t>יקב הרי גליל- ברק וסטריש</t>
  </si>
  <si>
    <t>יקב הרי גליל</t>
  </si>
  <si>
    <t>רז גנילויון עין הבשור</t>
  </si>
  <si>
    <t>רז גנילוין</t>
  </si>
  <si>
    <t>0522565570</t>
  </si>
  <si>
    <t>עין הבשור</t>
  </si>
  <si>
    <t>029726957</t>
  </si>
  <si>
    <t>עטרז</t>
  </si>
  <si>
    <t>razganelevin@gmail.com</t>
  </si>
  <si>
    <t>שיזף דהן ניר ישראל- אא</t>
  </si>
  <si>
    <t>שיזף דהן</t>
  </si>
  <si>
    <t>052-8201111</t>
  </si>
  <si>
    <t>ניר ישראל</t>
  </si>
  <si>
    <t>517011789</t>
  </si>
  <si>
    <t>דהן ירוקים בע"מ</t>
  </si>
  <si>
    <t>shezafd@gmail.com</t>
  </si>
  <si>
    <t>אופק ירקוני נירים הידרופוני</t>
  </si>
  <si>
    <t>אופק ירקוני</t>
  </si>
  <si>
    <t>0547916264</t>
  </si>
  <si>
    <t>נירים</t>
  </si>
  <si>
    <t>517007297</t>
  </si>
  <si>
    <t>ירקוני תאום ויעוץ בע״נ</t>
  </si>
  <si>
    <t>gadi@yarkonic.com</t>
  </si>
  <si>
    <t>משק בזק - שרונה</t>
  </si>
  <si>
    <t>חנן בזק</t>
  </si>
  <si>
    <t>0506241405</t>
  </si>
  <si>
    <t>50827799</t>
  </si>
  <si>
    <t>משק בזק</t>
  </si>
  <si>
    <t>amirgoz@gmail.com</t>
  </si>
  <si>
    <t>mata@biz-mg.ci.il</t>
  </si>
  <si>
    <t>גלעד רף אילניה</t>
  </si>
  <si>
    <t>גלעד רף</t>
  </si>
  <si>
    <t>0526701296</t>
  </si>
  <si>
    <t>513437475</t>
  </si>
  <si>
    <t>רף גדליהו ובניו בעמ</t>
  </si>
  <si>
    <t>giladraf11@gmail.com</t>
  </si>
  <si>
    <t>טוביה סטרייקר -יד מרדכי-ע</t>
  </si>
  <si>
    <t>טוביה סטרייקר</t>
  </si>
  <si>
    <t>0546926353</t>
  </si>
  <si>
    <t>יד מרדכי</t>
  </si>
  <si>
    <t>570038125</t>
  </si>
  <si>
    <t>שרותי האבקה יד מרדכי</t>
  </si>
  <si>
    <t>office@polyam.co.il</t>
  </si>
  <si>
    <t>רוברט אמרוסי</t>
  </si>
  <si>
    <t>0542258824</t>
  </si>
  <si>
    <t>מגדל</t>
  </si>
  <si>
    <t>557031044</t>
  </si>
  <si>
    <t>רוברט  ואליהו אמרוסי</t>
  </si>
  <si>
    <t>robiamro@walls.com</t>
  </si>
  <si>
    <t>לידור עמית -שדה יואב-ע</t>
  </si>
  <si>
    <t>קיבוץ שדה יואב</t>
  </si>
  <si>
    <t>0544329258</t>
  </si>
  <si>
    <t>שדה יואב</t>
  </si>
  <si>
    <t>570013961</t>
  </si>
  <si>
    <t>mata@ksy.co.il</t>
  </si>
  <si>
    <t>ברק וסטריש</t>
  </si>
  <si>
    <t>050-5395501</t>
  </si>
  <si>
    <t>משגב עם</t>
  </si>
  <si>
    <t>570051854</t>
  </si>
  <si>
    <t>יקב הרי גליל אחזקות אגשח בע"מ</t>
  </si>
  <si>
    <t>matamanara@gmail.com</t>
  </si>
  <si>
    <t>דוד אורן -שדה אילן-ע</t>
  </si>
  <si>
    <t>דוד אורן</t>
  </si>
  <si>
    <t>0586767574</t>
  </si>
  <si>
    <t>52845229</t>
  </si>
  <si>
    <t>david.oren2@gmail.com</t>
  </si>
  <si>
    <t>דרור קליין -שרונה</t>
  </si>
  <si>
    <t>חיים קלינמן</t>
  </si>
  <si>
    <t>0528521313</t>
  </si>
  <si>
    <t>5578182</t>
  </si>
  <si>
    <t>drormich@gmail.com</t>
  </si>
  <si>
    <t>רפי מור יוסף , שדות בצל-שדה צבי</t>
  </si>
  <si>
    <t>רפי מור יוסף</t>
  </si>
  <si>
    <t>055-684-5873</t>
  </si>
  <si>
    <t>שדה צבי</t>
  </si>
  <si>
    <t>53194866</t>
  </si>
  <si>
    <t>רפאל מור יוסף</t>
  </si>
  <si>
    <t>חיים לינרס -בננה וטפיוקה -כמהין</t>
  </si>
  <si>
    <t>סה"כ לתשלום</t>
  </si>
  <si>
    <t>01-ינו</t>
  </si>
  <si>
    <t>05-ינו</t>
  </si>
  <si>
    <t>06-ינו</t>
  </si>
  <si>
    <t>07-ינו</t>
  </si>
  <si>
    <t>08-ינו</t>
  </si>
  <si>
    <t>12-ינו</t>
  </si>
  <si>
    <t>13-ינו</t>
  </si>
  <si>
    <t>14-ינו</t>
  </si>
  <si>
    <t>15-ינו</t>
  </si>
  <si>
    <t>19-ינו</t>
  </si>
  <si>
    <t>20-ינו</t>
  </si>
  <si>
    <t>21-ינו</t>
  </si>
  <si>
    <t>22-ינו</t>
  </si>
  <si>
    <t>26-ינו</t>
  </si>
  <si>
    <t>27-ינו</t>
  </si>
  <si>
    <t>28-ינו</t>
  </si>
  <si>
    <t>29-ינו</t>
  </si>
  <si>
    <t>גדעון לוריא חצבה</t>
  </si>
  <si>
    <t>יורם אתרוג צופר</t>
  </si>
  <si>
    <t>נוי חצבה</t>
  </si>
  <si>
    <t>נטורזה</t>
  </si>
  <si>
    <t>עמי עגמון</t>
  </si>
  <si>
    <t>ערן ויין</t>
  </si>
  <si>
    <t>רמי שדה - מפעל</t>
  </si>
  <si>
    <t>Grand Total</t>
  </si>
  <si>
    <t>שם חקלאי + תאריך</t>
  </si>
  <si>
    <t>מס'משובצים</t>
  </si>
  <si>
    <t>סה"כ שעות</t>
  </si>
  <si>
    <t>סה"כ לחיוב</t>
  </si>
  <si>
    <t>אבוקדו נחל עוז</t>
  </si>
  <si>
    <t>ייטב פקאנים וזיתים</t>
  </si>
  <si>
    <t>25-ינו</t>
  </si>
  <si>
    <t>נבו דגן- מטע פקאן</t>
  </si>
  <si>
    <t>ראומה נחמיאס</t>
  </si>
  <si>
    <t>רוברט</t>
  </si>
  <si>
    <t>חיוב לפי מיכל</t>
  </si>
  <si>
    <t>חקלאי + תאריך</t>
  </si>
  <si>
    <t>גדעון לוריא</t>
  </si>
  <si>
    <t>ארז</t>
  </si>
  <si>
    <t>דרור קליין - שרונה</t>
  </si>
  <si>
    <t>מושון</t>
  </si>
  <si>
    <t>מטע לביא - אשכוליות - יוחאי</t>
  </si>
  <si>
    <t>קלמנטינות דברת - רועי</t>
  </si>
  <si>
    <t xml:space="preserve">רוברט </t>
  </si>
  <si>
    <t xml:space="preserve"> סה"כ תשלום</t>
  </si>
  <si>
    <t>עומר דינר (גדש סאסא)</t>
  </si>
  <si>
    <t>דוד קלס</t>
  </si>
  <si>
    <t>החברה לפיתוח ולבניין בערבה</t>
  </si>
  <si>
    <t>יורם אתרוג</t>
  </si>
  <si>
    <t>מו"פ ערבה יופ פתוח</t>
  </si>
  <si>
    <t>מושב חצבה - נוי</t>
  </si>
  <si>
    <t>מיזם חקלאי -  נוי</t>
  </si>
  <si>
    <t xml:space="preserve">רמי שדה </t>
  </si>
  <si>
    <t>גד"ש סאסא</t>
  </si>
  <si>
    <t>מיזם חקלאי - אשכוליות לפי מיכל</t>
  </si>
  <si>
    <t xml:space="preserve">מיזם חקלאי - קלמנטינות לפי מיכל </t>
  </si>
  <si>
    <t>מיזם חקלאי - חיוב לפי מיכל</t>
  </si>
  <si>
    <t>חסרים 3 חקלאים</t>
  </si>
  <si>
    <t>מיזם חקלאי  - חיוב לפי מיכל</t>
  </si>
  <si>
    <t>ארז חוות רוטה</t>
  </si>
  <si>
    <t>23-ינו</t>
  </si>
  <si>
    <t>דב מאיר חצבה</t>
  </si>
  <si>
    <t>נטורזה - עידן</t>
  </si>
  <si>
    <t>עמית מאיר - חצבה</t>
  </si>
  <si>
    <t>פרסקו - חצבה</t>
  </si>
  <si>
    <t>רמי שדה - עין יהב</t>
  </si>
  <si>
    <t>דברת - קבלני  (עבודה בתבור)</t>
  </si>
  <si>
    <t>חוות רוטה</t>
  </si>
  <si>
    <t>צופר</t>
  </si>
  <si>
    <t>0528991178</t>
  </si>
  <si>
    <t>051160604</t>
  </si>
  <si>
    <t>yor@arava.co.il</t>
  </si>
  <si>
    <t>אביטל</t>
  </si>
  <si>
    <t>031754369</t>
  </si>
  <si>
    <t>braimok47@gmail.com</t>
  </si>
  <si>
    <t>ארז בריימוק</t>
  </si>
  <si>
    <t>050-750-0638</t>
  </si>
  <si>
    <t>קיבוץ סאסא גד"ש</t>
  </si>
  <si>
    <t>gadashsasa@gmail.com</t>
  </si>
  <si>
    <t>570007575</t>
  </si>
  <si>
    <t>⁦+972 54-770-7830</t>
  </si>
  <si>
    <t>058055401</t>
  </si>
  <si>
    <t>nachmias.reuma@gmail.com</t>
  </si>
  <si>
    <t>כוכב מיכאל</t>
  </si>
  <si>
    <t>Nirdag98@gmail.com</t>
  </si>
  <si>
    <t>פרי הנחל ניר דגן</t>
  </si>
  <si>
    <t>נבו דגן</t>
  </si>
  <si>
    <t>540144250</t>
  </si>
  <si>
    <t>0507233885</t>
  </si>
  <si>
    <t>053394151</t>
  </si>
  <si>
    <t>erezrota@gmail.com</t>
  </si>
  <si>
    <t>0544968703</t>
  </si>
  <si>
    <t>רמי שדה  - מפעל</t>
  </si>
  <si>
    <t>כרם עין דור</t>
  </si>
  <si>
    <t>אבשלום הראל ובניו 1992 בע"מ</t>
  </si>
  <si>
    <t>511746919</t>
  </si>
  <si>
    <t>אייל אחראי מפעל</t>
  </si>
  <si>
    <t>Ayala@tamaraltd.com</t>
  </si>
  <si>
    <t>יורם</t>
  </si>
  <si>
    <t>גבאי מושון משה</t>
  </si>
  <si>
    <t>יורם מירה</t>
  </si>
  <si>
    <t>054134390</t>
  </si>
  <si>
    <t>Yoramire@gmail.com</t>
  </si>
  <si>
    <t>0522793331</t>
  </si>
  <si>
    <t>⁦+972 50-270-2050</t>
  </si>
  <si>
    <t>031389943</t>
  </si>
  <si>
    <t>0529257550</t>
  </si>
  <si>
    <t>מזור ייטב</t>
  </si>
  <si>
    <t>משק מזור</t>
  </si>
  <si>
    <t>Yitavma@hotmail.com</t>
  </si>
  <si>
    <t>קיבוץ סאסא</t>
  </si>
  <si>
    <t>⁦+972 54-287-4064</t>
  </si>
  <si>
    <t>סאסא</t>
  </si>
  <si>
    <t>עומר דינר</t>
  </si>
  <si>
    <t>052110921</t>
  </si>
  <si>
    <t>Moshong54@gmail.com</t>
  </si>
  <si>
    <t>rafi1234@gmail.com</t>
  </si>
  <si>
    <t>סה"כ משובצים</t>
  </si>
  <si>
    <t>אבוקדו חצבה</t>
  </si>
  <si>
    <t>ערן וויין</t>
  </si>
  <si>
    <t>פרסקו</t>
  </si>
  <si>
    <t>סה"כ מעודכן</t>
  </si>
  <si>
    <t>יבולי נחל עוז</t>
  </si>
  <si>
    <t>570063222</t>
  </si>
  <si>
    <t>moran.gds@nahaloz.co.il</t>
  </si>
  <si>
    <t>0545656312</t>
  </si>
  <si>
    <t>נחל עוז</t>
  </si>
  <si>
    <t>⁦+972 53-776-2230</t>
  </si>
  <si>
    <t>Haim.linares@gmail.com</t>
  </si>
  <si>
    <t>מורן פרייבך</t>
  </si>
  <si>
    <t>מיזם חקלאי  -</t>
  </si>
  <si>
    <t>משק חביביאן</t>
  </si>
  <si>
    <t>הפער נובע מעדכון תעריפים לשעה</t>
  </si>
  <si>
    <t>סה"כ     91 חשבוניות</t>
  </si>
  <si>
    <t>סעיף תקציבי הכנסה</t>
  </si>
  <si>
    <t>0544393331</t>
  </si>
  <si>
    <t>פארן</t>
  </si>
  <si>
    <t>52001377</t>
  </si>
  <si>
    <t>agmon31@nervision.net.il</t>
  </si>
  <si>
    <t>05586968</t>
  </si>
  <si>
    <t>eranwein59@gmail.com</t>
  </si>
  <si>
    <t>עין תמר</t>
  </si>
  <si>
    <t>64137eef-e2b5-f011-bbd2-000d3ab85edc</t>
  </si>
  <si>
    <t>fFq+KHUawTsHaGYTV41qPRGE7WlHYz5GLSOQO/+tpIsaGVOMW9yO5iRmnS5oXCT00PmJrHZ5oxkTWEIOo1cT4A==</t>
  </si>
  <si>
    <t>יאיר טייץ קדש ברנע</t>
  </si>
  <si>
    <t>0526199844</t>
  </si>
  <si>
    <t>ניצני סיני</t>
  </si>
  <si>
    <t>קדש ברנע</t>
  </si>
  <si>
    <t>yairteitz39@gmail.com</t>
  </si>
  <si>
    <t>022587869</t>
  </si>
  <si>
    <t>משק  בוקס בע"מ</t>
  </si>
  <si>
    <t>gal@frescofarm.co.il</t>
  </si>
  <si>
    <t>בוקר טוב.</t>
  </si>
  <si>
    <t>חוות יקבי קנאטיר</t>
  </si>
  <si>
    <t>ח.פ- 514664424</t>
  </si>
  <si>
    <t xml:space="preserve">2gingim@gmail.com </t>
  </si>
  <si>
    <t>0524871288</t>
  </si>
  <si>
    <t>אם אפשר עדיף להוציא חשבונית אחת על 2 החודשים</t>
  </si>
  <si>
    <t>kerem@elrom.biz</t>
  </si>
  <si>
    <t>yyantm@gmail.com</t>
  </si>
  <si>
    <t>יורם ברודבקה</t>
  </si>
  <si>
    <t>תוצרת עגבניות</t>
  </si>
  <si>
    <t>שירלי שוורץ</t>
  </si>
  <si>
    <t>משק בש</t>
  </si>
  <si>
    <t>אליקים אייגן</t>
  </si>
  <si>
    <t>ח.פ. 514577329</t>
  </si>
  <si>
    <t>ע.מ. 27126325</t>
  </si>
  <si>
    <t>ע.מ. 16713307</t>
  </si>
  <si>
    <t>ע.מ. 305349533</t>
  </si>
  <si>
    <t>לפי תפוקה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</si>
</sst>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dd/mm/yy"/>
    <numFmt numFmtId="165" formatCode="&quot;₪&quot;\ #,##0.00"/>
    <numFmt numFmtId="167" formatCode="0.0"/>
  </numFmts>
  <fonts count="3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000000"/>
      <name val="Calibri"/>
      <family val="2"/>
    </font>
    <font>
      <sz val="11"/>
      <name val="Arial"/>
      <family val="2"/>
      <scheme val="minor"/>
    </font>
    <font>
      <sz val="11"/>
      <color indexed="10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charset val="177"/>
      <scheme val="minor"/>
    </font>
    <font>
      <sz val="12"/>
      <color rgb="FF000000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b/>
      <sz val="12"/>
      <color rgb="FF000000"/>
      <name val="Calibri"/>
      <family val="2"/>
      <charset val="177"/>
    </font>
    <font>
      <sz val="12"/>
      <color rgb="FF56585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2"/>
      <color theme="1"/>
      <name val="Calibri"/>
      <family val="2"/>
      <charset val="177"/>
    </font>
    <font>
      <b/>
      <sz val="12"/>
      <color theme="1"/>
      <name val="Calibri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rgb="FFFF0000"/>
      <name val="Calibri"/>
      <family val="2"/>
      <charset val="177"/>
    </font>
    <font>
      <sz val="11"/>
      <color rgb="FFFF0000"/>
      <name val="Arial"/>
      <family val="2"/>
      <scheme val="minor"/>
    </font>
    <font>
      <sz val="12"/>
      <color rgb="FFFF0000"/>
      <name val="Calibri"/>
      <family val="2"/>
    </font>
    <font>
      <b/>
      <sz val="11"/>
      <color rgb="FFFF0000"/>
      <name val="Arial"/>
      <family val="2"/>
      <charset val="177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9ABF7"/>
        <bgColor indexed="64"/>
      </patternFill>
    </fill>
    <fill>
      <patternFill patternType="solid">
        <fgColor rgb="FFFBD1D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5F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8">
    <xf numFmtId="0" fontId="0" fillId="0" borderId="0" xfId="0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right" vertical="center" readingOrder="2"/>
    </xf>
    <xf numFmtId="164" fontId="0" fillId="0" borderId="0" xfId="0" applyNumberFormat="1" applyAlignment="1">
      <alignment horizontal="right"/>
    </xf>
    <xf numFmtId="164" fontId="0" fillId="4" borderId="0" xfId="0" applyNumberFormat="1" applyFill="1"/>
    <xf numFmtId="17" fontId="0" fillId="0" borderId="0" xfId="0" applyNumberFormat="1"/>
    <xf numFmtId="0" fontId="0" fillId="5" borderId="0" xfId="0" applyFill="1"/>
    <xf numFmtId="0" fontId="3" fillId="0" borderId="0" xfId="0" applyFont="1" applyAlignment="1">
      <alignment horizontal="center"/>
    </xf>
    <xf numFmtId="0" fontId="0" fillId="6" borderId="0" xfId="0" applyFill="1"/>
    <xf numFmtId="2" fontId="1" fillId="0" borderId="0" xfId="1" applyNumberFormat="1" applyFont="1"/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5" borderId="0" xfId="0" applyNumberFormat="1" applyFill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64" fontId="0" fillId="4" borderId="4" xfId="0" applyNumberFormat="1" applyFill="1" applyBorder="1"/>
    <xf numFmtId="0" fontId="0" fillId="4" borderId="0" xfId="0" applyFill="1"/>
    <xf numFmtId="0" fontId="2" fillId="4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164" fontId="11" fillId="2" borderId="0" xfId="1" applyNumberFormat="1" applyFont="1" applyFill="1"/>
    <xf numFmtId="0" fontId="11" fillId="4" borderId="0" xfId="0" applyFont="1" applyFill="1"/>
    <xf numFmtId="0" fontId="11" fillId="0" borderId="0" xfId="0" applyFont="1" applyAlignment="1">
      <alignment horizontal="right" vertical="center"/>
    </xf>
    <xf numFmtId="0" fontId="0" fillId="8" borderId="0" xfId="0" applyFill="1"/>
    <xf numFmtId="0" fontId="3" fillId="9" borderId="0" xfId="0" applyFont="1" applyFill="1" applyAlignment="1">
      <alignment horizontal="center"/>
    </xf>
    <xf numFmtId="164" fontId="12" fillId="10" borderId="4" xfId="0" applyNumberFormat="1" applyFont="1" applyFill="1" applyBorder="1"/>
    <xf numFmtId="0" fontId="13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4" fontId="0" fillId="11" borderId="0" xfId="0" applyNumberFormat="1" applyFill="1"/>
    <xf numFmtId="0" fontId="9" fillId="0" borderId="0" xfId="0" applyFont="1" applyAlignment="1">
      <alignment horizontal="right"/>
    </xf>
    <xf numFmtId="2" fontId="1" fillId="0" borderId="0" xfId="1" applyNumberFormat="1" applyFont="1" applyFill="1"/>
    <xf numFmtId="0" fontId="0" fillId="12" borderId="0" xfId="0" applyFill="1"/>
    <xf numFmtId="2" fontId="0" fillId="12" borderId="0" xfId="0" applyNumberFormat="1" applyFill="1"/>
    <xf numFmtId="0" fontId="0" fillId="13" borderId="0" xfId="0" applyFill="1"/>
    <xf numFmtId="2" fontId="0" fillId="13" borderId="0" xfId="0" applyNumberFormat="1" applyFill="1"/>
    <xf numFmtId="0" fontId="0" fillId="0" borderId="0" xfId="0" applyAlignment="1">
      <alignment wrapText="1"/>
    </xf>
    <xf numFmtId="0" fontId="0" fillId="0" borderId="5" xfId="0" applyBorder="1"/>
    <xf numFmtId="0" fontId="15" fillId="14" borderId="0" xfId="0" applyFont="1" applyFill="1"/>
    <xf numFmtId="0" fontId="16" fillId="3" borderId="6" xfId="0" applyFont="1" applyFill="1" applyBorder="1" applyAlignment="1">
      <alignment horizontal="right"/>
    </xf>
    <xf numFmtId="0" fontId="15" fillId="15" borderId="0" xfId="0" applyFont="1" applyFill="1"/>
    <xf numFmtId="0" fontId="0" fillId="0" borderId="5" xfId="0" applyBorder="1" applyAlignment="1">
      <alignment wrapText="1"/>
    </xf>
    <xf numFmtId="0" fontId="16" fillId="0" borderId="0" xfId="0" applyFont="1"/>
    <xf numFmtId="0" fontId="0" fillId="17" borderId="0" xfId="0" applyFill="1"/>
    <xf numFmtId="0" fontId="0" fillId="18" borderId="0" xfId="0" applyFill="1"/>
    <xf numFmtId="2" fontId="11" fillId="0" borderId="0" xfId="0" applyNumberFormat="1" applyFont="1"/>
    <xf numFmtId="165" fontId="0" fillId="0" borderId="0" xfId="0" applyNumberFormat="1"/>
    <xf numFmtId="0" fontId="0" fillId="20" borderId="0" xfId="0" applyFill="1"/>
    <xf numFmtId="0" fontId="16" fillId="0" borderId="5" xfId="0" applyFont="1" applyBorder="1"/>
    <xf numFmtId="165" fontId="14" fillId="0" borderId="9" xfId="0" applyNumberFormat="1" applyFont="1" applyBorder="1" applyAlignment="1">
      <alignment horizontal="right"/>
    </xf>
    <xf numFmtId="165" fontId="17" fillId="0" borderId="5" xfId="0" applyNumberFormat="1" applyFont="1" applyBorder="1" applyAlignment="1">
      <alignment horizontal="right"/>
    </xf>
    <xf numFmtId="165" fontId="0" fillId="0" borderId="5" xfId="0" applyNumberFormat="1" applyBorder="1"/>
    <xf numFmtId="165" fontId="0" fillId="16" borderId="5" xfId="0" applyNumberFormat="1" applyFill="1" applyBorder="1"/>
    <xf numFmtId="165" fontId="18" fillId="17" borderId="7" xfId="0" applyNumberFormat="1" applyFont="1" applyFill="1" applyBorder="1" applyAlignment="1">
      <alignment horizontal="right"/>
    </xf>
    <xf numFmtId="165" fontId="18" fillId="3" borderId="8" xfId="0" applyNumberFormat="1" applyFont="1" applyFill="1" applyBorder="1" applyAlignment="1">
      <alignment horizontal="right"/>
    </xf>
    <xf numFmtId="165" fontId="18" fillId="18" borderId="7" xfId="0" applyNumberFormat="1" applyFont="1" applyFill="1" applyBorder="1" applyAlignment="1">
      <alignment horizontal="right"/>
    </xf>
    <xf numFmtId="0" fontId="9" fillId="7" borderId="2" xfId="0" applyFont="1" applyFill="1" applyBorder="1" applyAlignment="1">
      <alignment horizontal="center"/>
    </xf>
    <xf numFmtId="2" fontId="0" fillId="0" borderId="0" xfId="0" applyNumberFormat="1"/>
    <xf numFmtId="2" fontId="16" fillId="0" borderId="0" xfId="0" applyNumberFormat="1" applyFont="1"/>
    <xf numFmtId="0" fontId="9" fillId="7" borderId="2" xfId="0" applyFont="1" applyFill="1" applyBorder="1" applyAlignment="1">
      <alignment horizontal="right"/>
    </xf>
    <xf numFmtId="44" fontId="9" fillId="19" borderId="5" xfId="0" applyNumberFormat="1" applyFont="1" applyFill="1" applyBorder="1" applyAlignment="1">
      <alignment horizontal="right"/>
    </xf>
    <xf numFmtId="165" fontId="11" fillId="0" borderId="5" xfId="0" applyNumberFormat="1" applyFont="1" applyBorder="1" applyAlignment="1">
      <alignment horizontal="right"/>
    </xf>
    <xf numFmtId="165" fontId="11" fillId="8" borderId="9" xfId="0" applyNumberFormat="1" applyFont="1" applyFill="1" applyBorder="1"/>
    <xf numFmtId="165" fontId="11" fillId="0" borderId="9" xfId="0" applyNumberFormat="1" applyFont="1" applyBorder="1"/>
    <xf numFmtId="165" fontId="11" fillId="0" borderId="0" xfId="0" applyNumberFormat="1" applyFont="1"/>
    <xf numFmtId="165" fontId="11" fillId="4" borderId="5" xfId="0" applyNumberFormat="1" applyFont="1" applyFill="1" applyBorder="1"/>
    <xf numFmtId="165" fontId="11" fillId="0" borderId="5" xfId="0" applyNumberFormat="1" applyFont="1" applyBorder="1"/>
    <xf numFmtId="165" fontId="11" fillId="5" borderId="5" xfId="0" applyNumberFormat="1" applyFont="1" applyFill="1" applyBorder="1"/>
    <xf numFmtId="165" fontId="11" fillId="6" borderId="5" xfId="0" applyNumberFormat="1" applyFont="1" applyFill="1" applyBorder="1"/>
    <xf numFmtId="165" fontId="17" fillId="19" borderId="5" xfId="0" applyNumberFormat="1" applyFont="1" applyFill="1" applyBorder="1"/>
    <xf numFmtId="165" fontId="11" fillId="12" borderId="5" xfId="0" applyNumberFormat="1" applyFont="1" applyFill="1" applyBorder="1"/>
    <xf numFmtId="165" fontId="17" fillId="19" borderId="5" xfId="0" applyNumberFormat="1" applyFont="1" applyFill="1" applyBorder="1" applyAlignment="1">
      <alignment horizontal="right"/>
    </xf>
    <xf numFmtId="165" fontId="11" fillId="13" borderId="5" xfId="0" applyNumberFormat="1" applyFont="1" applyFill="1" applyBorder="1"/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/>
    </xf>
    <xf numFmtId="2" fontId="0" fillId="0" borderId="0" xfId="1" applyNumberFormat="1" applyFont="1"/>
    <xf numFmtId="0" fontId="21" fillId="3" borderId="1" xfId="0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right"/>
    </xf>
    <xf numFmtId="2" fontId="20" fillId="7" borderId="2" xfId="0" applyNumberFormat="1" applyFont="1" applyFill="1" applyBorder="1" applyAlignment="1">
      <alignment horizontal="right"/>
    </xf>
    <xf numFmtId="2" fontId="2" fillId="4" borderId="0" xfId="0" applyNumberFormat="1" applyFont="1" applyFill="1"/>
    <xf numFmtId="1" fontId="9" fillId="7" borderId="2" xfId="0" applyNumberFormat="1" applyFont="1" applyFill="1" applyBorder="1" applyAlignment="1">
      <alignment horizontal="right"/>
    </xf>
    <xf numFmtId="1" fontId="0" fillId="12" borderId="0" xfId="0" applyNumberFormat="1" applyFill="1"/>
    <xf numFmtId="0" fontId="0" fillId="0" borderId="5" xfId="0" applyBorder="1" applyAlignment="1">
      <alignment horizontal="center"/>
    </xf>
    <xf numFmtId="1" fontId="0" fillId="8" borderId="0" xfId="0" applyNumberFormat="1" applyFill="1"/>
    <xf numFmtId="0" fontId="0" fillId="23" borderId="10" xfId="0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4" fontId="10" fillId="0" borderId="17" xfId="0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/>
    <xf numFmtId="14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14" fontId="10" fillId="0" borderId="15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0" fontId="0" fillId="24" borderId="11" xfId="0" applyFill="1" applyBorder="1"/>
    <xf numFmtId="1" fontId="16" fillId="0" borderId="12" xfId="0" applyNumberFormat="1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16" fillId="24" borderId="11" xfId="0" applyNumberFormat="1" applyFont="1" applyFill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1" fontId="10" fillId="0" borderId="18" xfId="0" applyNumberFormat="1" applyFont="1" applyBorder="1" applyAlignment="1">
      <alignment horizontal="center"/>
    </xf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5" xfId="0" applyNumberFormat="1" applyBorder="1"/>
    <xf numFmtId="49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49" fontId="0" fillId="3" borderId="5" xfId="0" applyNumberFormat="1" applyFill="1" applyBorder="1" applyAlignment="1">
      <alignment vertical="center"/>
    </xf>
    <xf numFmtId="49" fontId="0" fillId="3" borderId="5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10" fillId="4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167" fontId="10" fillId="0" borderId="5" xfId="0" applyNumberFormat="1" applyFon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0" fontId="10" fillId="0" borderId="5" xfId="0" applyFont="1" applyBorder="1"/>
    <xf numFmtId="167" fontId="10" fillId="0" borderId="5" xfId="0" applyNumberFormat="1" applyFont="1" applyBorder="1"/>
    <xf numFmtId="167" fontId="0" fillId="0" borderId="5" xfId="0" applyNumberFormat="1" applyBorder="1"/>
    <xf numFmtId="0" fontId="0" fillId="22" borderId="5" xfId="0" applyFill="1" applyBorder="1" applyAlignment="1">
      <alignment horizontal="right"/>
    </xf>
    <xf numFmtId="1" fontId="0" fillId="22" borderId="5" xfId="0" applyNumberFormat="1" applyFill="1" applyBorder="1" applyAlignment="1">
      <alignment horizontal="right"/>
    </xf>
    <xf numFmtId="0" fontId="10" fillId="4" borderId="5" xfId="0" applyFont="1" applyFill="1" applyBorder="1"/>
    <xf numFmtId="167" fontId="10" fillId="4" borderId="5" xfId="0" applyNumberFormat="1" applyFont="1" applyFill="1" applyBorder="1" applyAlignment="1">
      <alignment horizontal="right"/>
    </xf>
    <xf numFmtId="1" fontId="10" fillId="0" borderId="5" xfId="0" applyNumberFormat="1" applyFont="1" applyBorder="1" applyAlignment="1">
      <alignment horizontal="right"/>
    </xf>
    <xf numFmtId="1" fontId="0" fillId="0" borderId="5" xfId="0" applyNumberFormat="1" applyBorder="1" applyAlignment="1">
      <alignment horizontal="right"/>
    </xf>
    <xf numFmtId="2" fontId="10" fillId="0" borderId="5" xfId="0" applyNumberFormat="1" applyFont="1" applyBorder="1" applyAlignment="1">
      <alignment horizontal="right"/>
    </xf>
    <xf numFmtId="1" fontId="0" fillId="5" borderId="0" xfId="0" applyNumberFormat="1" applyFill="1"/>
    <xf numFmtId="167" fontId="0" fillId="0" borderId="0" xfId="0" applyNumberFormat="1"/>
    <xf numFmtId="167" fontId="16" fillId="0" borderId="0" xfId="0" applyNumberFormat="1" applyFont="1"/>
    <xf numFmtId="0" fontId="10" fillId="23" borderId="5" xfId="0" applyFont="1" applyFill="1" applyBorder="1" applyAlignment="1">
      <alignment horizontal="center"/>
    </xf>
    <xf numFmtId="0" fontId="10" fillId="25" borderId="5" xfId="0" applyFont="1" applyFill="1" applyBorder="1" applyAlignment="1">
      <alignment horizontal="center"/>
    </xf>
    <xf numFmtId="2" fontId="10" fillId="25" borderId="5" xfId="0" applyNumberFormat="1" applyFont="1" applyFill="1" applyBorder="1" applyAlignment="1">
      <alignment horizontal="center"/>
    </xf>
    <xf numFmtId="2" fontId="23" fillId="0" borderId="5" xfId="0" applyNumberFormat="1" applyFont="1" applyBorder="1" applyAlignment="1">
      <alignment horizontal="center"/>
    </xf>
    <xf numFmtId="1" fontId="10" fillId="25" borderId="5" xfId="0" applyNumberFormat="1" applyFont="1" applyFill="1" applyBorder="1" applyAlignment="1">
      <alignment horizontal="center"/>
    </xf>
    <xf numFmtId="0" fontId="24" fillId="0" borderId="24" xfId="0" applyFont="1" applyBorder="1" applyAlignment="1">
      <alignment horizontal="right"/>
    </xf>
    <xf numFmtId="0" fontId="24" fillId="0" borderId="24" xfId="0" applyFont="1" applyBorder="1"/>
    <xf numFmtId="2" fontId="24" fillId="0" borderId="24" xfId="0" applyNumberFormat="1" applyFont="1" applyBorder="1"/>
    <xf numFmtId="0" fontId="24" fillId="0" borderId="0" xfId="0" applyFont="1" applyAlignment="1">
      <alignment horizontal="right" indent="1"/>
    </xf>
    <xf numFmtId="0" fontId="24" fillId="0" borderId="0" xfId="0" applyFont="1"/>
    <xf numFmtId="2" fontId="24" fillId="0" borderId="0" xfId="0" applyNumberFormat="1" applyFont="1"/>
    <xf numFmtId="0" fontId="24" fillId="0" borderId="5" xfId="0" applyFont="1" applyBorder="1" applyAlignment="1">
      <alignment horizontal="center"/>
    </xf>
    <xf numFmtId="2" fontId="24" fillId="0" borderId="5" xfId="0" applyNumberFormat="1" applyFont="1" applyBorder="1" applyAlignment="1">
      <alignment horizontal="center"/>
    </xf>
    <xf numFmtId="1" fontId="10" fillId="23" borderId="5" xfId="0" applyNumberFormat="1" applyFont="1" applyFill="1" applyBorder="1" applyAlignment="1">
      <alignment horizontal="center"/>
    </xf>
    <xf numFmtId="0" fontId="25" fillId="25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6" fillId="0" borderId="5" xfId="0" applyFont="1" applyBorder="1" applyAlignment="1">
      <alignment horizontal="right"/>
    </xf>
    <xf numFmtId="2" fontId="27" fillId="11" borderId="0" xfId="0" applyNumberFormat="1" applyFont="1" applyFill="1"/>
    <xf numFmtId="2" fontId="22" fillId="24" borderId="22" xfId="0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horizontal="right"/>
    </xf>
    <xf numFmtId="2" fontId="10" fillId="4" borderId="5" xfId="0" applyNumberFormat="1" applyFont="1" applyFill="1" applyBorder="1" applyAlignment="1">
      <alignment horizontal="right"/>
    </xf>
    <xf numFmtId="2" fontId="10" fillId="0" borderId="5" xfId="0" applyNumberFormat="1" applyFont="1" applyBorder="1"/>
    <xf numFmtId="2" fontId="0" fillId="0" borderId="5" xfId="0" applyNumberFormat="1" applyBorder="1"/>
    <xf numFmtId="2" fontId="10" fillId="4" borderId="5" xfId="0" applyNumberFormat="1" applyFont="1" applyFill="1" applyBorder="1"/>
    <xf numFmtId="0" fontId="23" fillId="21" borderId="5" xfId="0" applyFont="1" applyFill="1" applyBorder="1" applyAlignment="1">
      <alignment horizontal="right"/>
    </xf>
    <xf numFmtId="0" fontId="23" fillId="21" borderId="5" xfId="0" applyFont="1" applyFill="1" applyBorder="1"/>
    <xf numFmtId="0" fontId="16" fillId="21" borderId="5" xfId="0" applyFont="1" applyFill="1" applyBorder="1" applyAlignment="1">
      <alignment horizontal="right"/>
    </xf>
    <xf numFmtId="0" fontId="16" fillId="21" borderId="5" xfId="0" applyFont="1" applyFill="1" applyBorder="1"/>
    <xf numFmtId="2" fontId="16" fillId="21" borderId="5" xfId="0" applyNumberFormat="1" applyFont="1" applyFill="1" applyBorder="1"/>
    <xf numFmtId="2" fontId="23" fillId="0" borderId="5" xfId="0" applyNumberFormat="1" applyFont="1" applyBorder="1"/>
    <xf numFmtId="2" fontId="0" fillId="0" borderId="5" xfId="0" applyNumberFormat="1" applyBorder="1" applyAlignment="1">
      <alignment horizontal="right"/>
    </xf>
    <xf numFmtId="2" fontId="23" fillId="0" borderId="5" xfId="0" applyNumberFormat="1" applyFont="1" applyBorder="1" applyAlignment="1">
      <alignment horizontal="right"/>
    </xf>
    <xf numFmtId="2" fontId="16" fillId="0" borderId="5" xfId="0" applyNumberFormat="1" applyFont="1" applyBorder="1" applyAlignment="1">
      <alignment horizontal="right"/>
    </xf>
    <xf numFmtId="0" fontId="10" fillId="26" borderId="5" xfId="0" applyFont="1" applyFill="1" applyBorder="1" applyAlignment="1">
      <alignment horizontal="right"/>
    </xf>
    <xf numFmtId="0" fontId="10" fillId="26" borderId="5" xfId="0" applyFont="1" applyFill="1" applyBorder="1"/>
    <xf numFmtId="0" fontId="23" fillId="0" borderId="5" xfId="0" applyFont="1" applyBorder="1"/>
    <xf numFmtId="0" fontId="28" fillId="0" borderId="5" xfId="2" applyBorder="1" applyAlignment="1">
      <alignment horizontal="right"/>
    </xf>
    <xf numFmtId="0" fontId="0" fillId="22" borderId="25" xfId="0" applyFill="1" applyBorder="1" applyAlignment="1">
      <alignment horizontal="right"/>
    </xf>
    <xf numFmtId="49" fontId="0" fillId="22" borderId="5" xfId="0" applyNumberFormat="1" applyFill="1" applyBorder="1" applyAlignment="1">
      <alignment horizontal="right"/>
    </xf>
    <xf numFmtId="22" fontId="0" fillId="22" borderId="5" xfId="0" applyNumberFormat="1" applyFill="1" applyBorder="1" applyAlignment="1">
      <alignment horizontal="right"/>
    </xf>
    <xf numFmtId="0" fontId="0" fillId="22" borderId="26" xfId="0" applyFill="1" applyBorder="1" applyAlignment="1">
      <alignment horizontal="right"/>
    </xf>
    <xf numFmtId="0" fontId="28" fillId="0" borderId="0" xfId="2"/>
    <xf numFmtId="0" fontId="26" fillId="0" borderId="23" xfId="0" applyFont="1" applyBorder="1" applyAlignment="1">
      <alignment vertical="center" wrapText="1"/>
    </xf>
    <xf numFmtId="0" fontId="29" fillId="3" borderId="0" xfId="0" applyFont="1" applyFill="1" applyAlignment="1">
      <alignment horizontal="center"/>
    </xf>
    <xf numFmtId="0" fontId="2" fillId="0" borderId="0" xfId="0" applyFont="1"/>
    <xf numFmtId="0" fontId="30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4" borderId="0" xfId="0" applyNumberFormat="1" applyFont="1" applyFill="1"/>
    <xf numFmtId="17" fontId="2" fillId="0" borderId="0" xfId="0" applyNumberFormat="1" applyFont="1"/>
    <xf numFmtId="0" fontId="2" fillId="6" borderId="0" xfId="0" applyFont="1" applyFill="1"/>
    <xf numFmtId="0" fontId="29" fillId="0" borderId="0" xfId="0" applyFont="1" applyAlignment="1">
      <alignment horizontal="center"/>
    </xf>
    <xf numFmtId="2" fontId="31" fillId="7" borderId="2" xfId="0" applyNumberFormat="1" applyFont="1" applyFill="1" applyBorder="1" applyAlignment="1">
      <alignment horizontal="right"/>
    </xf>
    <xf numFmtId="2" fontId="2" fillId="0" borderId="0" xfId="1" applyNumberFormat="1" applyFont="1"/>
    <xf numFmtId="0" fontId="31" fillId="7" borderId="2" xfId="0" applyFont="1" applyFill="1" applyBorder="1" applyAlignment="1">
      <alignment horizontal="right"/>
    </xf>
    <xf numFmtId="0" fontId="32" fillId="3" borderId="0" xfId="0" applyFont="1" applyFill="1" applyAlignment="1">
      <alignment horizontal="center"/>
    </xf>
    <xf numFmtId="164" fontId="2" fillId="4" borderId="4" xfId="0" applyNumberFormat="1" applyFont="1" applyFill="1" applyBorder="1"/>
    <xf numFmtId="0" fontId="3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2" fillId="3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3">
    <cellStyle name="Comma" xfId="1" builtinId="3"/>
    <cellStyle name="Normal" xfId="0" builtinId="0"/>
    <cellStyle name="היפר-קישור" xfId="2" builtinId="8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D33F9-E2AC-4969-AA19-96B95C335015}" name="Table14" displayName="Table14" ref="A1:C2" insertRow="1" totalsRowShown="0" dataDxfId="3">
  <autoFilter ref="A1:C2" xr:uid="{3D0D33F9-E2AC-4969-AA19-96B95C335015}"/>
  <tableColumns count="3">
    <tableColumn id="1" xr3:uid="{B480FABB-CD80-4BF3-B6F4-6E262EFCB90E}" name="(אל תשנה) משימה" dataDxfId="2"/>
    <tableColumn id="2" xr3:uid="{8905CC32-0125-4B4D-9BEF-4C74B5FAB1C3}" name="(אל תשנה) בדיקת סיכום של שורה" dataDxfId="1"/>
    <tableColumn id="3" xr3:uid="{8B08940F-A861-4AD1-A37F-70BEC65CB963}" name="(אל תשנה) Modified 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gal@frescofarm.co.il" TargetMode="External"/><Relationship Id="rId2" Type="http://schemas.openxmlformats.org/officeDocument/2006/relationships/hyperlink" Target="mailto:eranwein59@gmail.com" TargetMode="External"/><Relationship Id="rId1" Type="http://schemas.openxmlformats.org/officeDocument/2006/relationships/hyperlink" Target="mailto:agmon31@nervision.net.il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yyantm@gmail.com" TargetMode="External"/><Relationship Id="rId4" Type="http://schemas.openxmlformats.org/officeDocument/2006/relationships/hyperlink" Target="mailto:kerem@elrom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B715-606D-4446-B91A-06987BBE6ECF}">
  <sheetPr>
    <pageSetUpPr fitToPage="1"/>
  </sheetPr>
  <dimension ref="A1:M203"/>
  <sheetViews>
    <sheetView rightToLeft="1" topLeftCell="A103" zoomScale="96" zoomScaleNormal="96" workbookViewId="0">
      <selection activeCell="L53" sqref="L53"/>
    </sheetView>
  </sheetViews>
  <sheetFormatPr defaultColWidth="8.59765625" defaultRowHeight="13.8" x14ac:dyDescent="0.25"/>
  <cols>
    <col min="1" max="1" width="3.296875" customWidth="1"/>
    <col min="2" max="2" width="28.796875" style="10" customWidth="1"/>
    <col min="3" max="3" width="1.796875" bestFit="1" customWidth="1"/>
    <col min="5" max="5" width="16.59765625" style="14" customWidth="1"/>
    <col min="6" max="6" width="10.5" bestFit="1" customWidth="1"/>
    <col min="7" max="7" width="10" bestFit="1" customWidth="1"/>
    <col min="8" max="8" width="16.19921875" customWidth="1"/>
    <col min="10" max="10" width="15.59765625" bestFit="1" customWidth="1"/>
    <col min="11" max="11" width="14.296875" customWidth="1"/>
    <col min="12" max="12" width="15.3984375" customWidth="1"/>
    <col min="13" max="13" width="37.796875" customWidth="1"/>
    <col min="15" max="15" width="24.796875" customWidth="1"/>
    <col min="257" max="257" width="5.09765625" customWidth="1"/>
    <col min="258" max="258" width="28.796875" customWidth="1"/>
    <col min="259" max="259" width="1.796875" bestFit="1" customWidth="1"/>
    <col min="261" max="261" width="25.59765625" customWidth="1"/>
    <col min="262" max="262" width="10.5" bestFit="1" customWidth="1"/>
    <col min="263" max="263" width="10" bestFit="1" customWidth="1"/>
    <col min="264" max="264" width="14.09765625" bestFit="1" customWidth="1"/>
    <col min="265" max="265" width="4.796875" bestFit="1" customWidth="1"/>
    <col min="266" max="266" width="15.59765625" bestFit="1" customWidth="1"/>
    <col min="267" max="267" width="9.796875" customWidth="1"/>
    <col min="268" max="268" width="10.09765625" customWidth="1"/>
    <col min="269" max="269" width="37.796875" customWidth="1"/>
    <col min="271" max="271" width="24.796875" customWidth="1"/>
    <col min="513" max="513" width="5.09765625" customWidth="1"/>
    <col min="514" max="514" width="28.796875" customWidth="1"/>
    <col min="515" max="515" width="1.796875" bestFit="1" customWidth="1"/>
    <col min="517" max="517" width="25.59765625" customWidth="1"/>
    <col min="518" max="518" width="10.5" bestFit="1" customWidth="1"/>
    <col min="519" max="519" width="10" bestFit="1" customWidth="1"/>
    <col min="520" max="520" width="14.09765625" bestFit="1" customWidth="1"/>
    <col min="521" max="521" width="4.796875" bestFit="1" customWidth="1"/>
    <col min="522" max="522" width="15.59765625" bestFit="1" customWidth="1"/>
    <col min="523" max="523" width="9.796875" customWidth="1"/>
    <col min="524" max="524" width="10.09765625" customWidth="1"/>
    <col min="525" max="525" width="37.796875" customWidth="1"/>
    <col min="527" max="527" width="24.796875" customWidth="1"/>
    <col min="769" max="769" width="5.09765625" customWidth="1"/>
    <col min="770" max="770" width="28.796875" customWidth="1"/>
    <col min="771" max="771" width="1.796875" bestFit="1" customWidth="1"/>
    <col min="773" max="773" width="25.59765625" customWidth="1"/>
    <col min="774" max="774" width="10.5" bestFit="1" customWidth="1"/>
    <col min="775" max="775" width="10" bestFit="1" customWidth="1"/>
    <col min="776" max="776" width="14.09765625" bestFit="1" customWidth="1"/>
    <col min="777" max="777" width="4.796875" bestFit="1" customWidth="1"/>
    <col min="778" max="778" width="15.59765625" bestFit="1" customWidth="1"/>
    <col min="779" max="779" width="9.796875" customWidth="1"/>
    <col min="780" max="780" width="10.09765625" customWidth="1"/>
    <col min="781" max="781" width="37.796875" customWidth="1"/>
    <col min="783" max="783" width="24.796875" customWidth="1"/>
    <col min="1025" max="1025" width="5.09765625" customWidth="1"/>
    <col min="1026" max="1026" width="28.796875" customWidth="1"/>
    <col min="1027" max="1027" width="1.796875" bestFit="1" customWidth="1"/>
    <col min="1029" max="1029" width="25.59765625" customWidth="1"/>
    <col min="1030" max="1030" width="10.5" bestFit="1" customWidth="1"/>
    <col min="1031" max="1031" width="10" bestFit="1" customWidth="1"/>
    <col min="1032" max="1032" width="14.09765625" bestFit="1" customWidth="1"/>
    <col min="1033" max="1033" width="4.796875" bestFit="1" customWidth="1"/>
    <col min="1034" max="1034" width="15.59765625" bestFit="1" customWidth="1"/>
    <col min="1035" max="1035" width="9.796875" customWidth="1"/>
    <col min="1036" max="1036" width="10.09765625" customWidth="1"/>
    <col min="1037" max="1037" width="37.796875" customWidth="1"/>
    <col min="1039" max="1039" width="24.796875" customWidth="1"/>
    <col min="1281" max="1281" width="5.09765625" customWidth="1"/>
    <col min="1282" max="1282" width="28.796875" customWidth="1"/>
    <col min="1283" max="1283" width="1.796875" bestFit="1" customWidth="1"/>
    <col min="1285" max="1285" width="25.59765625" customWidth="1"/>
    <col min="1286" max="1286" width="10.5" bestFit="1" customWidth="1"/>
    <col min="1287" max="1287" width="10" bestFit="1" customWidth="1"/>
    <col min="1288" max="1288" width="14.09765625" bestFit="1" customWidth="1"/>
    <col min="1289" max="1289" width="4.796875" bestFit="1" customWidth="1"/>
    <col min="1290" max="1290" width="15.59765625" bestFit="1" customWidth="1"/>
    <col min="1291" max="1291" width="9.796875" customWidth="1"/>
    <col min="1292" max="1292" width="10.09765625" customWidth="1"/>
    <col min="1293" max="1293" width="37.796875" customWidth="1"/>
    <col min="1295" max="1295" width="24.796875" customWidth="1"/>
    <col min="1537" max="1537" width="5.09765625" customWidth="1"/>
    <col min="1538" max="1538" width="28.796875" customWidth="1"/>
    <col min="1539" max="1539" width="1.796875" bestFit="1" customWidth="1"/>
    <col min="1541" max="1541" width="25.59765625" customWidth="1"/>
    <col min="1542" max="1542" width="10.5" bestFit="1" customWidth="1"/>
    <col min="1543" max="1543" width="10" bestFit="1" customWidth="1"/>
    <col min="1544" max="1544" width="14.09765625" bestFit="1" customWidth="1"/>
    <col min="1545" max="1545" width="4.796875" bestFit="1" customWidth="1"/>
    <col min="1546" max="1546" width="15.59765625" bestFit="1" customWidth="1"/>
    <col min="1547" max="1547" width="9.796875" customWidth="1"/>
    <col min="1548" max="1548" width="10.09765625" customWidth="1"/>
    <col min="1549" max="1549" width="37.796875" customWidth="1"/>
    <col min="1551" max="1551" width="24.796875" customWidth="1"/>
    <col min="1793" max="1793" width="5.09765625" customWidth="1"/>
    <col min="1794" max="1794" width="28.796875" customWidth="1"/>
    <col min="1795" max="1795" width="1.796875" bestFit="1" customWidth="1"/>
    <col min="1797" max="1797" width="25.59765625" customWidth="1"/>
    <col min="1798" max="1798" width="10.5" bestFit="1" customWidth="1"/>
    <col min="1799" max="1799" width="10" bestFit="1" customWidth="1"/>
    <col min="1800" max="1800" width="14.09765625" bestFit="1" customWidth="1"/>
    <col min="1801" max="1801" width="4.796875" bestFit="1" customWidth="1"/>
    <col min="1802" max="1802" width="15.59765625" bestFit="1" customWidth="1"/>
    <col min="1803" max="1803" width="9.796875" customWidth="1"/>
    <col min="1804" max="1804" width="10.09765625" customWidth="1"/>
    <col min="1805" max="1805" width="37.796875" customWidth="1"/>
    <col min="1807" max="1807" width="24.796875" customWidth="1"/>
    <col min="2049" max="2049" width="5.09765625" customWidth="1"/>
    <col min="2050" max="2050" width="28.796875" customWidth="1"/>
    <col min="2051" max="2051" width="1.796875" bestFit="1" customWidth="1"/>
    <col min="2053" max="2053" width="25.59765625" customWidth="1"/>
    <col min="2054" max="2054" width="10.5" bestFit="1" customWidth="1"/>
    <col min="2055" max="2055" width="10" bestFit="1" customWidth="1"/>
    <col min="2056" max="2056" width="14.09765625" bestFit="1" customWidth="1"/>
    <col min="2057" max="2057" width="4.796875" bestFit="1" customWidth="1"/>
    <col min="2058" max="2058" width="15.59765625" bestFit="1" customWidth="1"/>
    <col min="2059" max="2059" width="9.796875" customWidth="1"/>
    <col min="2060" max="2060" width="10.09765625" customWidth="1"/>
    <col min="2061" max="2061" width="37.796875" customWidth="1"/>
    <col min="2063" max="2063" width="24.796875" customWidth="1"/>
    <col min="2305" max="2305" width="5.09765625" customWidth="1"/>
    <col min="2306" max="2306" width="28.796875" customWidth="1"/>
    <col min="2307" max="2307" width="1.796875" bestFit="1" customWidth="1"/>
    <col min="2309" max="2309" width="25.59765625" customWidth="1"/>
    <col min="2310" max="2310" width="10.5" bestFit="1" customWidth="1"/>
    <col min="2311" max="2311" width="10" bestFit="1" customWidth="1"/>
    <col min="2312" max="2312" width="14.09765625" bestFit="1" customWidth="1"/>
    <col min="2313" max="2313" width="4.796875" bestFit="1" customWidth="1"/>
    <col min="2314" max="2314" width="15.59765625" bestFit="1" customWidth="1"/>
    <col min="2315" max="2315" width="9.796875" customWidth="1"/>
    <col min="2316" max="2316" width="10.09765625" customWidth="1"/>
    <col min="2317" max="2317" width="37.796875" customWidth="1"/>
    <col min="2319" max="2319" width="24.796875" customWidth="1"/>
    <col min="2561" max="2561" width="5.09765625" customWidth="1"/>
    <col min="2562" max="2562" width="28.796875" customWidth="1"/>
    <col min="2563" max="2563" width="1.796875" bestFit="1" customWidth="1"/>
    <col min="2565" max="2565" width="25.59765625" customWidth="1"/>
    <col min="2566" max="2566" width="10.5" bestFit="1" customWidth="1"/>
    <col min="2567" max="2567" width="10" bestFit="1" customWidth="1"/>
    <col min="2568" max="2568" width="14.09765625" bestFit="1" customWidth="1"/>
    <col min="2569" max="2569" width="4.796875" bestFit="1" customWidth="1"/>
    <col min="2570" max="2570" width="15.59765625" bestFit="1" customWidth="1"/>
    <col min="2571" max="2571" width="9.796875" customWidth="1"/>
    <col min="2572" max="2572" width="10.09765625" customWidth="1"/>
    <col min="2573" max="2573" width="37.796875" customWidth="1"/>
    <col min="2575" max="2575" width="24.796875" customWidth="1"/>
    <col min="2817" max="2817" width="5.09765625" customWidth="1"/>
    <col min="2818" max="2818" width="28.796875" customWidth="1"/>
    <col min="2819" max="2819" width="1.796875" bestFit="1" customWidth="1"/>
    <col min="2821" max="2821" width="25.59765625" customWidth="1"/>
    <col min="2822" max="2822" width="10.5" bestFit="1" customWidth="1"/>
    <col min="2823" max="2823" width="10" bestFit="1" customWidth="1"/>
    <col min="2824" max="2824" width="14.09765625" bestFit="1" customWidth="1"/>
    <col min="2825" max="2825" width="4.796875" bestFit="1" customWidth="1"/>
    <col min="2826" max="2826" width="15.59765625" bestFit="1" customWidth="1"/>
    <col min="2827" max="2827" width="9.796875" customWidth="1"/>
    <col min="2828" max="2828" width="10.09765625" customWidth="1"/>
    <col min="2829" max="2829" width="37.796875" customWidth="1"/>
    <col min="2831" max="2831" width="24.796875" customWidth="1"/>
    <col min="3073" max="3073" width="5.09765625" customWidth="1"/>
    <col min="3074" max="3074" width="28.796875" customWidth="1"/>
    <col min="3075" max="3075" width="1.796875" bestFit="1" customWidth="1"/>
    <col min="3077" max="3077" width="25.59765625" customWidth="1"/>
    <col min="3078" max="3078" width="10.5" bestFit="1" customWidth="1"/>
    <col min="3079" max="3079" width="10" bestFit="1" customWidth="1"/>
    <col min="3080" max="3080" width="14.09765625" bestFit="1" customWidth="1"/>
    <col min="3081" max="3081" width="4.796875" bestFit="1" customWidth="1"/>
    <col min="3082" max="3082" width="15.59765625" bestFit="1" customWidth="1"/>
    <col min="3083" max="3083" width="9.796875" customWidth="1"/>
    <col min="3084" max="3084" width="10.09765625" customWidth="1"/>
    <col min="3085" max="3085" width="37.796875" customWidth="1"/>
    <col min="3087" max="3087" width="24.796875" customWidth="1"/>
    <col min="3329" max="3329" width="5.09765625" customWidth="1"/>
    <col min="3330" max="3330" width="28.796875" customWidth="1"/>
    <col min="3331" max="3331" width="1.796875" bestFit="1" customWidth="1"/>
    <col min="3333" max="3333" width="25.59765625" customWidth="1"/>
    <col min="3334" max="3334" width="10.5" bestFit="1" customWidth="1"/>
    <col min="3335" max="3335" width="10" bestFit="1" customWidth="1"/>
    <col min="3336" max="3336" width="14.09765625" bestFit="1" customWidth="1"/>
    <col min="3337" max="3337" width="4.796875" bestFit="1" customWidth="1"/>
    <col min="3338" max="3338" width="15.59765625" bestFit="1" customWidth="1"/>
    <col min="3339" max="3339" width="9.796875" customWidth="1"/>
    <col min="3340" max="3340" width="10.09765625" customWidth="1"/>
    <col min="3341" max="3341" width="37.796875" customWidth="1"/>
    <col min="3343" max="3343" width="24.796875" customWidth="1"/>
    <col min="3585" max="3585" width="5.09765625" customWidth="1"/>
    <col min="3586" max="3586" width="28.796875" customWidth="1"/>
    <col min="3587" max="3587" width="1.796875" bestFit="1" customWidth="1"/>
    <col min="3589" max="3589" width="25.59765625" customWidth="1"/>
    <col min="3590" max="3590" width="10.5" bestFit="1" customWidth="1"/>
    <col min="3591" max="3591" width="10" bestFit="1" customWidth="1"/>
    <col min="3592" max="3592" width="14.09765625" bestFit="1" customWidth="1"/>
    <col min="3593" max="3593" width="4.796875" bestFit="1" customWidth="1"/>
    <col min="3594" max="3594" width="15.59765625" bestFit="1" customWidth="1"/>
    <col min="3595" max="3595" width="9.796875" customWidth="1"/>
    <col min="3596" max="3596" width="10.09765625" customWidth="1"/>
    <col min="3597" max="3597" width="37.796875" customWidth="1"/>
    <col min="3599" max="3599" width="24.796875" customWidth="1"/>
    <col min="3841" max="3841" width="5.09765625" customWidth="1"/>
    <col min="3842" max="3842" width="28.796875" customWidth="1"/>
    <col min="3843" max="3843" width="1.796875" bestFit="1" customWidth="1"/>
    <col min="3845" max="3845" width="25.59765625" customWidth="1"/>
    <col min="3846" max="3846" width="10.5" bestFit="1" customWidth="1"/>
    <col min="3847" max="3847" width="10" bestFit="1" customWidth="1"/>
    <col min="3848" max="3848" width="14.09765625" bestFit="1" customWidth="1"/>
    <col min="3849" max="3849" width="4.796875" bestFit="1" customWidth="1"/>
    <col min="3850" max="3850" width="15.59765625" bestFit="1" customWidth="1"/>
    <col min="3851" max="3851" width="9.796875" customWidth="1"/>
    <col min="3852" max="3852" width="10.09765625" customWidth="1"/>
    <col min="3853" max="3853" width="37.796875" customWidth="1"/>
    <col min="3855" max="3855" width="24.796875" customWidth="1"/>
    <col min="4097" max="4097" width="5.09765625" customWidth="1"/>
    <col min="4098" max="4098" width="28.796875" customWidth="1"/>
    <col min="4099" max="4099" width="1.796875" bestFit="1" customWidth="1"/>
    <col min="4101" max="4101" width="25.59765625" customWidth="1"/>
    <col min="4102" max="4102" width="10.5" bestFit="1" customWidth="1"/>
    <col min="4103" max="4103" width="10" bestFit="1" customWidth="1"/>
    <col min="4104" max="4104" width="14.09765625" bestFit="1" customWidth="1"/>
    <col min="4105" max="4105" width="4.796875" bestFit="1" customWidth="1"/>
    <col min="4106" max="4106" width="15.59765625" bestFit="1" customWidth="1"/>
    <col min="4107" max="4107" width="9.796875" customWidth="1"/>
    <col min="4108" max="4108" width="10.09765625" customWidth="1"/>
    <col min="4109" max="4109" width="37.796875" customWidth="1"/>
    <col min="4111" max="4111" width="24.796875" customWidth="1"/>
    <col min="4353" max="4353" width="5.09765625" customWidth="1"/>
    <col min="4354" max="4354" width="28.796875" customWidth="1"/>
    <col min="4355" max="4355" width="1.796875" bestFit="1" customWidth="1"/>
    <col min="4357" max="4357" width="25.59765625" customWidth="1"/>
    <col min="4358" max="4358" width="10.5" bestFit="1" customWidth="1"/>
    <col min="4359" max="4359" width="10" bestFit="1" customWidth="1"/>
    <col min="4360" max="4360" width="14.09765625" bestFit="1" customWidth="1"/>
    <col min="4361" max="4361" width="4.796875" bestFit="1" customWidth="1"/>
    <col min="4362" max="4362" width="15.59765625" bestFit="1" customWidth="1"/>
    <col min="4363" max="4363" width="9.796875" customWidth="1"/>
    <col min="4364" max="4364" width="10.09765625" customWidth="1"/>
    <col min="4365" max="4365" width="37.796875" customWidth="1"/>
    <col min="4367" max="4367" width="24.796875" customWidth="1"/>
    <col min="4609" max="4609" width="5.09765625" customWidth="1"/>
    <col min="4610" max="4610" width="28.796875" customWidth="1"/>
    <col min="4611" max="4611" width="1.796875" bestFit="1" customWidth="1"/>
    <col min="4613" max="4613" width="25.59765625" customWidth="1"/>
    <col min="4614" max="4614" width="10.5" bestFit="1" customWidth="1"/>
    <col min="4615" max="4615" width="10" bestFit="1" customWidth="1"/>
    <col min="4616" max="4616" width="14.09765625" bestFit="1" customWidth="1"/>
    <col min="4617" max="4617" width="4.796875" bestFit="1" customWidth="1"/>
    <col min="4618" max="4618" width="15.59765625" bestFit="1" customWidth="1"/>
    <col min="4619" max="4619" width="9.796875" customWidth="1"/>
    <col min="4620" max="4620" width="10.09765625" customWidth="1"/>
    <col min="4621" max="4621" width="37.796875" customWidth="1"/>
    <col min="4623" max="4623" width="24.796875" customWidth="1"/>
    <col min="4865" max="4865" width="5.09765625" customWidth="1"/>
    <col min="4866" max="4866" width="28.796875" customWidth="1"/>
    <col min="4867" max="4867" width="1.796875" bestFit="1" customWidth="1"/>
    <col min="4869" max="4869" width="25.59765625" customWidth="1"/>
    <col min="4870" max="4870" width="10.5" bestFit="1" customWidth="1"/>
    <col min="4871" max="4871" width="10" bestFit="1" customWidth="1"/>
    <col min="4872" max="4872" width="14.09765625" bestFit="1" customWidth="1"/>
    <col min="4873" max="4873" width="4.796875" bestFit="1" customWidth="1"/>
    <col min="4874" max="4874" width="15.59765625" bestFit="1" customWidth="1"/>
    <col min="4875" max="4875" width="9.796875" customWidth="1"/>
    <col min="4876" max="4876" width="10.09765625" customWidth="1"/>
    <col min="4877" max="4877" width="37.796875" customWidth="1"/>
    <col min="4879" max="4879" width="24.796875" customWidth="1"/>
    <col min="5121" max="5121" width="5.09765625" customWidth="1"/>
    <col min="5122" max="5122" width="28.796875" customWidth="1"/>
    <col min="5123" max="5123" width="1.796875" bestFit="1" customWidth="1"/>
    <col min="5125" max="5125" width="25.59765625" customWidth="1"/>
    <col min="5126" max="5126" width="10.5" bestFit="1" customWidth="1"/>
    <col min="5127" max="5127" width="10" bestFit="1" customWidth="1"/>
    <col min="5128" max="5128" width="14.09765625" bestFit="1" customWidth="1"/>
    <col min="5129" max="5129" width="4.796875" bestFit="1" customWidth="1"/>
    <col min="5130" max="5130" width="15.59765625" bestFit="1" customWidth="1"/>
    <col min="5131" max="5131" width="9.796875" customWidth="1"/>
    <col min="5132" max="5132" width="10.09765625" customWidth="1"/>
    <col min="5133" max="5133" width="37.796875" customWidth="1"/>
    <col min="5135" max="5135" width="24.796875" customWidth="1"/>
    <col min="5377" max="5377" width="5.09765625" customWidth="1"/>
    <col min="5378" max="5378" width="28.796875" customWidth="1"/>
    <col min="5379" max="5379" width="1.796875" bestFit="1" customWidth="1"/>
    <col min="5381" max="5381" width="25.59765625" customWidth="1"/>
    <col min="5382" max="5382" width="10.5" bestFit="1" customWidth="1"/>
    <col min="5383" max="5383" width="10" bestFit="1" customWidth="1"/>
    <col min="5384" max="5384" width="14.09765625" bestFit="1" customWidth="1"/>
    <col min="5385" max="5385" width="4.796875" bestFit="1" customWidth="1"/>
    <col min="5386" max="5386" width="15.59765625" bestFit="1" customWidth="1"/>
    <col min="5387" max="5387" width="9.796875" customWidth="1"/>
    <col min="5388" max="5388" width="10.09765625" customWidth="1"/>
    <col min="5389" max="5389" width="37.796875" customWidth="1"/>
    <col min="5391" max="5391" width="24.796875" customWidth="1"/>
    <col min="5633" max="5633" width="5.09765625" customWidth="1"/>
    <col min="5634" max="5634" width="28.796875" customWidth="1"/>
    <col min="5635" max="5635" width="1.796875" bestFit="1" customWidth="1"/>
    <col min="5637" max="5637" width="25.59765625" customWidth="1"/>
    <col min="5638" max="5638" width="10.5" bestFit="1" customWidth="1"/>
    <col min="5639" max="5639" width="10" bestFit="1" customWidth="1"/>
    <col min="5640" max="5640" width="14.09765625" bestFit="1" customWidth="1"/>
    <col min="5641" max="5641" width="4.796875" bestFit="1" customWidth="1"/>
    <col min="5642" max="5642" width="15.59765625" bestFit="1" customWidth="1"/>
    <col min="5643" max="5643" width="9.796875" customWidth="1"/>
    <col min="5644" max="5644" width="10.09765625" customWidth="1"/>
    <col min="5645" max="5645" width="37.796875" customWidth="1"/>
    <col min="5647" max="5647" width="24.796875" customWidth="1"/>
    <col min="5889" max="5889" width="5.09765625" customWidth="1"/>
    <col min="5890" max="5890" width="28.796875" customWidth="1"/>
    <col min="5891" max="5891" width="1.796875" bestFit="1" customWidth="1"/>
    <col min="5893" max="5893" width="25.59765625" customWidth="1"/>
    <col min="5894" max="5894" width="10.5" bestFit="1" customWidth="1"/>
    <col min="5895" max="5895" width="10" bestFit="1" customWidth="1"/>
    <col min="5896" max="5896" width="14.09765625" bestFit="1" customWidth="1"/>
    <col min="5897" max="5897" width="4.796875" bestFit="1" customWidth="1"/>
    <col min="5898" max="5898" width="15.59765625" bestFit="1" customWidth="1"/>
    <col min="5899" max="5899" width="9.796875" customWidth="1"/>
    <col min="5900" max="5900" width="10.09765625" customWidth="1"/>
    <col min="5901" max="5901" width="37.796875" customWidth="1"/>
    <col min="5903" max="5903" width="24.796875" customWidth="1"/>
    <col min="6145" max="6145" width="5.09765625" customWidth="1"/>
    <col min="6146" max="6146" width="28.796875" customWidth="1"/>
    <col min="6147" max="6147" width="1.796875" bestFit="1" customWidth="1"/>
    <col min="6149" max="6149" width="25.59765625" customWidth="1"/>
    <col min="6150" max="6150" width="10.5" bestFit="1" customWidth="1"/>
    <col min="6151" max="6151" width="10" bestFit="1" customWidth="1"/>
    <col min="6152" max="6152" width="14.09765625" bestFit="1" customWidth="1"/>
    <col min="6153" max="6153" width="4.796875" bestFit="1" customWidth="1"/>
    <col min="6154" max="6154" width="15.59765625" bestFit="1" customWidth="1"/>
    <col min="6155" max="6155" width="9.796875" customWidth="1"/>
    <col min="6156" max="6156" width="10.09765625" customWidth="1"/>
    <col min="6157" max="6157" width="37.796875" customWidth="1"/>
    <col min="6159" max="6159" width="24.796875" customWidth="1"/>
    <col min="6401" max="6401" width="5.09765625" customWidth="1"/>
    <col min="6402" max="6402" width="28.796875" customWidth="1"/>
    <col min="6403" max="6403" width="1.796875" bestFit="1" customWidth="1"/>
    <col min="6405" max="6405" width="25.59765625" customWidth="1"/>
    <col min="6406" max="6406" width="10.5" bestFit="1" customWidth="1"/>
    <col min="6407" max="6407" width="10" bestFit="1" customWidth="1"/>
    <col min="6408" max="6408" width="14.09765625" bestFit="1" customWidth="1"/>
    <col min="6409" max="6409" width="4.796875" bestFit="1" customWidth="1"/>
    <col min="6410" max="6410" width="15.59765625" bestFit="1" customWidth="1"/>
    <col min="6411" max="6411" width="9.796875" customWidth="1"/>
    <col min="6412" max="6412" width="10.09765625" customWidth="1"/>
    <col min="6413" max="6413" width="37.796875" customWidth="1"/>
    <col min="6415" max="6415" width="24.796875" customWidth="1"/>
    <col min="6657" max="6657" width="5.09765625" customWidth="1"/>
    <col min="6658" max="6658" width="28.796875" customWidth="1"/>
    <col min="6659" max="6659" width="1.796875" bestFit="1" customWidth="1"/>
    <col min="6661" max="6661" width="25.59765625" customWidth="1"/>
    <col min="6662" max="6662" width="10.5" bestFit="1" customWidth="1"/>
    <col min="6663" max="6663" width="10" bestFit="1" customWidth="1"/>
    <col min="6664" max="6664" width="14.09765625" bestFit="1" customWidth="1"/>
    <col min="6665" max="6665" width="4.796875" bestFit="1" customWidth="1"/>
    <col min="6666" max="6666" width="15.59765625" bestFit="1" customWidth="1"/>
    <col min="6667" max="6667" width="9.796875" customWidth="1"/>
    <col min="6668" max="6668" width="10.09765625" customWidth="1"/>
    <col min="6669" max="6669" width="37.796875" customWidth="1"/>
    <col min="6671" max="6671" width="24.796875" customWidth="1"/>
    <col min="6913" max="6913" width="5.09765625" customWidth="1"/>
    <col min="6914" max="6914" width="28.796875" customWidth="1"/>
    <col min="6915" max="6915" width="1.796875" bestFit="1" customWidth="1"/>
    <col min="6917" max="6917" width="25.59765625" customWidth="1"/>
    <col min="6918" max="6918" width="10.5" bestFit="1" customWidth="1"/>
    <col min="6919" max="6919" width="10" bestFit="1" customWidth="1"/>
    <col min="6920" max="6920" width="14.09765625" bestFit="1" customWidth="1"/>
    <col min="6921" max="6921" width="4.796875" bestFit="1" customWidth="1"/>
    <col min="6922" max="6922" width="15.59765625" bestFit="1" customWidth="1"/>
    <col min="6923" max="6923" width="9.796875" customWidth="1"/>
    <col min="6924" max="6924" width="10.09765625" customWidth="1"/>
    <col min="6925" max="6925" width="37.796875" customWidth="1"/>
    <col min="6927" max="6927" width="24.796875" customWidth="1"/>
    <col min="7169" max="7169" width="5.09765625" customWidth="1"/>
    <col min="7170" max="7170" width="28.796875" customWidth="1"/>
    <col min="7171" max="7171" width="1.796875" bestFit="1" customWidth="1"/>
    <col min="7173" max="7173" width="25.59765625" customWidth="1"/>
    <col min="7174" max="7174" width="10.5" bestFit="1" customWidth="1"/>
    <col min="7175" max="7175" width="10" bestFit="1" customWidth="1"/>
    <col min="7176" max="7176" width="14.09765625" bestFit="1" customWidth="1"/>
    <col min="7177" max="7177" width="4.796875" bestFit="1" customWidth="1"/>
    <col min="7178" max="7178" width="15.59765625" bestFit="1" customWidth="1"/>
    <col min="7179" max="7179" width="9.796875" customWidth="1"/>
    <col min="7180" max="7180" width="10.09765625" customWidth="1"/>
    <col min="7181" max="7181" width="37.796875" customWidth="1"/>
    <col min="7183" max="7183" width="24.796875" customWidth="1"/>
    <col min="7425" max="7425" width="5.09765625" customWidth="1"/>
    <col min="7426" max="7426" width="28.796875" customWidth="1"/>
    <col min="7427" max="7427" width="1.796875" bestFit="1" customWidth="1"/>
    <col min="7429" max="7429" width="25.59765625" customWidth="1"/>
    <col min="7430" max="7430" width="10.5" bestFit="1" customWidth="1"/>
    <col min="7431" max="7431" width="10" bestFit="1" customWidth="1"/>
    <col min="7432" max="7432" width="14.09765625" bestFit="1" customWidth="1"/>
    <col min="7433" max="7433" width="4.796875" bestFit="1" customWidth="1"/>
    <col min="7434" max="7434" width="15.59765625" bestFit="1" customWidth="1"/>
    <col min="7435" max="7435" width="9.796875" customWidth="1"/>
    <col min="7436" max="7436" width="10.09765625" customWidth="1"/>
    <col min="7437" max="7437" width="37.796875" customWidth="1"/>
    <col min="7439" max="7439" width="24.796875" customWidth="1"/>
    <col min="7681" max="7681" width="5.09765625" customWidth="1"/>
    <col min="7682" max="7682" width="28.796875" customWidth="1"/>
    <col min="7683" max="7683" width="1.796875" bestFit="1" customWidth="1"/>
    <col min="7685" max="7685" width="25.59765625" customWidth="1"/>
    <col min="7686" max="7686" width="10.5" bestFit="1" customWidth="1"/>
    <col min="7687" max="7687" width="10" bestFit="1" customWidth="1"/>
    <col min="7688" max="7688" width="14.09765625" bestFit="1" customWidth="1"/>
    <col min="7689" max="7689" width="4.796875" bestFit="1" customWidth="1"/>
    <col min="7690" max="7690" width="15.59765625" bestFit="1" customWidth="1"/>
    <col min="7691" max="7691" width="9.796875" customWidth="1"/>
    <col min="7692" max="7692" width="10.09765625" customWidth="1"/>
    <col min="7693" max="7693" width="37.796875" customWidth="1"/>
    <col min="7695" max="7695" width="24.796875" customWidth="1"/>
    <col min="7937" max="7937" width="5.09765625" customWidth="1"/>
    <col min="7938" max="7938" width="28.796875" customWidth="1"/>
    <col min="7939" max="7939" width="1.796875" bestFit="1" customWidth="1"/>
    <col min="7941" max="7941" width="25.59765625" customWidth="1"/>
    <col min="7942" max="7942" width="10.5" bestFit="1" customWidth="1"/>
    <col min="7943" max="7943" width="10" bestFit="1" customWidth="1"/>
    <col min="7944" max="7944" width="14.09765625" bestFit="1" customWidth="1"/>
    <col min="7945" max="7945" width="4.796875" bestFit="1" customWidth="1"/>
    <col min="7946" max="7946" width="15.59765625" bestFit="1" customWidth="1"/>
    <col min="7947" max="7947" width="9.796875" customWidth="1"/>
    <col min="7948" max="7948" width="10.09765625" customWidth="1"/>
    <col min="7949" max="7949" width="37.796875" customWidth="1"/>
    <col min="7951" max="7951" width="24.796875" customWidth="1"/>
    <col min="8193" max="8193" width="5.09765625" customWidth="1"/>
    <col min="8194" max="8194" width="28.796875" customWidth="1"/>
    <col min="8195" max="8195" width="1.796875" bestFit="1" customWidth="1"/>
    <col min="8197" max="8197" width="25.59765625" customWidth="1"/>
    <col min="8198" max="8198" width="10.5" bestFit="1" customWidth="1"/>
    <col min="8199" max="8199" width="10" bestFit="1" customWidth="1"/>
    <col min="8200" max="8200" width="14.09765625" bestFit="1" customWidth="1"/>
    <col min="8201" max="8201" width="4.796875" bestFit="1" customWidth="1"/>
    <col min="8202" max="8202" width="15.59765625" bestFit="1" customWidth="1"/>
    <col min="8203" max="8203" width="9.796875" customWidth="1"/>
    <col min="8204" max="8204" width="10.09765625" customWidth="1"/>
    <col min="8205" max="8205" width="37.796875" customWidth="1"/>
    <col min="8207" max="8207" width="24.796875" customWidth="1"/>
    <col min="8449" max="8449" width="5.09765625" customWidth="1"/>
    <col min="8450" max="8450" width="28.796875" customWidth="1"/>
    <col min="8451" max="8451" width="1.796875" bestFit="1" customWidth="1"/>
    <col min="8453" max="8453" width="25.59765625" customWidth="1"/>
    <col min="8454" max="8454" width="10.5" bestFit="1" customWidth="1"/>
    <col min="8455" max="8455" width="10" bestFit="1" customWidth="1"/>
    <col min="8456" max="8456" width="14.09765625" bestFit="1" customWidth="1"/>
    <col min="8457" max="8457" width="4.796875" bestFit="1" customWidth="1"/>
    <col min="8458" max="8458" width="15.59765625" bestFit="1" customWidth="1"/>
    <col min="8459" max="8459" width="9.796875" customWidth="1"/>
    <col min="8460" max="8460" width="10.09765625" customWidth="1"/>
    <col min="8461" max="8461" width="37.796875" customWidth="1"/>
    <col min="8463" max="8463" width="24.796875" customWidth="1"/>
    <col min="8705" max="8705" width="5.09765625" customWidth="1"/>
    <col min="8706" max="8706" width="28.796875" customWidth="1"/>
    <col min="8707" max="8707" width="1.796875" bestFit="1" customWidth="1"/>
    <col min="8709" max="8709" width="25.59765625" customWidth="1"/>
    <col min="8710" max="8710" width="10.5" bestFit="1" customWidth="1"/>
    <col min="8711" max="8711" width="10" bestFit="1" customWidth="1"/>
    <col min="8712" max="8712" width="14.09765625" bestFit="1" customWidth="1"/>
    <col min="8713" max="8713" width="4.796875" bestFit="1" customWidth="1"/>
    <col min="8714" max="8714" width="15.59765625" bestFit="1" customWidth="1"/>
    <col min="8715" max="8715" width="9.796875" customWidth="1"/>
    <col min="8716" max="8716" width="10.09765625" customWidth="1"/>
    <col min="8717" max="8717" width="37.796875" customWidth="1"/>
    <col min="8719" max="8719" width="24.796875" customWidth="1"/>
    <col min="8961" max="8961" width="5.09765625" customWidth="1"/>
    <col min="8962" max="8962" width="28.796875" customWidth="1"/>
    <col min="8963" max="8963" width="1.796875" bestFit="1" customWidth="1"/>
    <col min="8965" max="8965" width="25.59765625" customWidth="1"/>
    <col min="8966" max="8966" width="10.5" bestFit="1" customWidth="1"/>
    <col min="8967" max="8967" width="10" bestFit="1" customWidth="1"/>
    <col min="8968" max="8968" width="14.09765625" bestFit="1" customWidth="1"/>
    <col min="8969" max="8969" width="4.796875" bestFit="1" customWidth="1"/>
    <col min="8970" max="8970" width="15.59765625" bestFit="1" customWidth="1"/>
    <col min="8971" max="8971" width="9.796875" customWidth="1"/>
    <col min="8972" max="8972" width="10.09765625" customWidth="1"/>
    <col min="8973" max="8973" width="37.796875" customWidth="1"/>
    <col min="8975" max="8975" width="24.796875" customWidth="1"/>
    <col min="9217" max="9217" width="5.09765625" customWidth="1"/>
    <col min="9218" max="9218" width="28.796875" customWidth="1"/>
    <col min="9219" max="9219" width="1.796875" bestFit="1" customWidth="1"/>
    <col min="9221" max="9221" width="25.59765625" customWidth="1"/>
    <col min="9222" max="9222" width="10.5" bestFit="1" customWidth="1"/>
    <col min="9223" max="9223" width="10" bestFit="1" customWidth="1"/>
    <col min="9224" max="9224" width="14.09765625" bestFit="1" customWidth="1"/>
    <col min="9225" max="9225" width="4.796875" bestFit="1" customWidth="1"/>
    <col min="9226" max="9226" width="15.59765625" bestFit="1" customWidth="1"/>
    <col min="9227" max="9227" width="9.796875" customWidth="1"/>
    <col min="9228" max="9228" width="10.09765625" customWidth="1"/>
    <col min="9229" max="9229" width="37.796875" customWidth="1"/>
    <col min="9231" max="9231" width="24.796875" customWidth="1"/>
    <col min="9473" max="9473" width="5.09765625" customWidth="1"/>
    <col min="9474" max="9474" width="28.796875" customWidth="1"/>
    <col min="9475" max="9475" width="1.796875" bestFit="1" customWidth="1"/>
    <col min="9477" max="9477" width="25.59765625" customWidth="1"/>
    <col min="9478" max="9478" width="10.5" bestFit="1" customWidth="1"/>
    <col min="9479" max="9479" width="10" bestFit="1" customWidth="1"/>
    <col min="9480" max="9480" width="14.09765625" bestFit="1" customWidth="1"/>
    <col min="9481" max="9481" width="4.796875" bestFit="1" customWidth="1"/>
    <col min="9482" max="9482" width="15.59765625" bestFit="1" customWidth="1"/>
    <col min="9483" max="9483" width="9.796875" customWidth="1"/>
    <col min="9484" max="9484" width="10.09765625" customWidth="1"/>
    <col min="9485" max="9485" width="37.796875" customWidth="1"/>
    <col min="9487" max="9487" width="24.796875" customWidth="1"/>
    <col min="9729" max="9729" width="5.09765625" customWidth="1"/>
    <col min="9730" max="9730" width="28.796875" customWidth="1"/>
    <col min="9731" max="9731" width="1.796875" bestFit="1" customWidth="1"/>
    <col min="9733" max="9733" width="25.59765625" customWidth="1"/>
    <col min="9734" max="9734" width="10.5" bestFit="1" customWidth="1"/>
    <col min="9735" max="9735" width="10" bestFit="1" customWidth="1"/>
    <col min="9736" max="9736" width="14.09765625" bestFit="1" customWidth="1"/>
    <col min="9737" max="9737" width="4.796875" bestFit="1" customWidth="1"/>
    <col min="9738" max="9738" width="15.59765625" bestFit="1" customWidth="1"/>
    <col min="9739" max="9739" width="9.796875" customWidth="1"/>
    <col min="9740" max="9740" width="10.09765625" customWidth="1"/>
    <col min="9741" max="9741" width="37.796875" customWidth="1"/>
    <col min="9743" max="9743" width="24.796875" customWidth="1"/>
    <col min="9985" max="9985" width="5.09765625" customWidth="1"/>
    <col min="9986" max="9986" width="28.796875" customWidth="1"/>
    <col min="9987" max="9987" width="1.796875" bestFit="1" customWidth="1"/>
    <col min="9989" max="9989" width="25.59765625" customWidth="1"/>
    <col min="9990" max="9990" width="10.5" bestFit="1" customWidth="1"/>
    <col min="9991" max="9991" width="10" bestFit="1" customWidth="1"/>
    <col min="9992" max="9992" width="14.09765625" bestFit="1" customWidth="1"/>
    <col min="9993" max="9993" width="4.796875" bestFit="1" customWidth="1"/>
    <col min="9994" max="9994" width="15.59765625" bestFit="1" customWidth="1"/>
    <col min="9995" max="9995" width="9.796875" customWidth="1"/>
    <col min="9996" max="9996" width="10.09765625" customWidth="1"/>
    <col min="9997" max="9997" width="37.796875" customWidth="1"/>
    <col min="9999" max="9999" width="24.796875" customWidth="1"/>
    <col min="10241" max="10241" width="5.09765625" customWidth="1"/>
    <col min="10242" max="10242" width="28.796875" customWidth="1"/>
    <col min="10243" max="10243" width="1.796875" bestFit="1" customWidth="1"/>
    <col min="10245" max="10245" width="25.59765625" customWidth="1"/>
    <col min="10246" max="10246" width="10.5" bestFit="1" customWidth="1"/>
    <col min="10247" max="10247" width="10" bestFit="1" customWidth="1"/>
    <col min="10248" max="10248" width="14.09765625" bestFit="1" customWidth="1"/>
    <col min="10249" max="10249" width="4.796875" bestFit="1" customWidth="1"/>
    <col min="10250" max="10250" width="15.59765625" bestFit="1" customWidth="1"/>
    <col min="10251" max="10251" width="9.796875" customWidth="1"/>
    <col min="10252" max="10252" width="10.09765625" customWidth="1"/>
    <col min="10253" max="10253" width="37.796875" customWidth="1"/>
    <col min="10255" max="10255" width="24.796875" customWidth="1"/>
    <col min="10497" max="10497" width="5.09765625" customWidth="1"/>
    <col min="10498" max="10498" width="28.796875" customWidth="1"/>
    <col min="10499" max="10499" width="1.796875" bestFit="1" customWidth="1"/>
    <col min="10501" max="10501" width="25.59765625" customWidth="1"/>
    <col min="10502" max="10502" width="10.5" bestFit="1" customWidth="1"/>
    <col min="10503" max="10503" width="10" bestFit="1" customWidth="1"/>
    <col min="10504" max="10504" width="14.09765625" bestFit="1" customWidth="1"/>
    <col min="10505" max="10505" width="4.796875" bestFit="1" customWidth="1"/>
    <col min="10506" max="10506" width="15.59765625" bestFit="1" customWidth="1"/>
    <col min="10507" max="10507" width="9.796875" customWidth="1"/>
    <col min="10508" max="10508" width="10.09765625" customWidth="1"/>
    <col min="10509" max="10509" width="37.796875" customWidth="1"/>
    <col min="10511" max="10511" width="24.796875" customWidth="1"/>
    <col min="10753" max="10753" width="5.09765625" customWidth="1"/>
    <col min="10754" max="10754" width="28.796875" customWidth="1"/>
    <col min="10755" max="10755" width="1.796875" bestFit="1" customWidth="1"/>
    <col min="10757" max="10757" width="25.59765625" customWidth="1"/>
    <col min="10758" max="10758" width="10.5" bestFit="1" customWidth="1"/>
    <col min="10759" max="10759" width="10" bestFit="1" customWidth="1"/>
    <col min="10760" max="10760" width="14.09765625" bestFit="1" customWidth="1"/>
    <col min="10761" max="10761" width="4.796875" bestFit="1" customWidth="1"/>
    <col min="10762" max="10762" width="15.59765625" bestFit="1" customWidth="1"/>
    <col min="10763" max="10763" width="9.796875" customWidth="1"/>
    <col min="10764" max="10764" width="10.09765625" customWidth="1"/>
    <col min="10765" max="10765" width="37.796875" customWidth="1"/>
    <col min="10767" max="10767" width="24.796875" customWidth="1"/>
    <col min="11009" max="11009" width="5.09765625" customWidth="1"/>
    <col min="11010" max="11010" width="28.796875" customWidth="1"/>
    <col min="11011" max="11011" width="1.796875" bestFit="1" customWidth="1"/>
    <col min="11013" max="11013" width="25.59765625" customWidth="1"/>
    <col min="11014" max="11014" width="10.5" bestFit="1" customWidth="1"/>
    <col min="11015" max="11015" width="10" bestFit="1" customWidth="1"/>
    <col min="11016" max="11016" width="14.09765625" bestFit="1" customWidth="1"/>
    <col min="11017" max="11017" width="4.796875" bestFit="1" customWidth="1"/>
    <col min="11018" max="11018" width="15.59765625" bestFit="1" customWidth="1"/>
    <col min="11019" max="11019" width="9.796875" customWidth="1"/>
    <col min="11020" max="11020" width="10.09765625" customWidth="1"/>
    <col min="11021" max="11021" width="37.796875" customWidth="1"/>
    <col min="11023" max="11023" width="24.796875" customWidth="1"/>
    <col min="11265" max="11265" width="5.09765625" customWidth="1"/>
    <col min="11266" max="11266" width="28.796875" customWidth="1"/>
    <col min="11267" max="11267" width="1.796875" bestFit="1" customWidth="1"/>
    <col min="11269" max="11269" width="25.59765625" customWidth="1"/>
    <col min="11270" max="11270" width="10.5" bestFit="1" customWidth="1"/>
    <col min="11271" max="11271" width="10" bestFit="1" customWidth="1"/>
    <col min="11272" max="11272" width="14.09765625" bestFit="1" customWidth="1"/>
    <col min="11273" max="11273" width="4.796875" bestFit="1" customWidth="1"/>
    <col min="11274" max="11274" width="15.59765625" bestFit="1" customWidth="1"/>
    <col min="11275" max="11275" width="9.796875" customWidth="1"/>
    <col min="11276" max="11276" width="10.09765625" customWidth="1"/>
    <col min="11277" max="11277" width="37.796875" customWidth="1"/>
    <col min="11279" max="11279" width="24.796875" customWidth="1"/>
    <col min="11521" max="11521" width="5.09765625" customWidth="1"/>
    <col min="11522" max="11522" width="28.796875" customWidth="1"/>
    <col min="11523" max="11523" width="1.796875" bestFit="1" customWidth="1"/>
    <col min="11525" max="11525" width="25.59765625" customWidth="1"/>
    <col min="11526" max="11526" width="10.5" bestFit="1" customWidth="1"/>
    <col min="11527" max="11527" width="10" bestFit="1" customWidth="1"/>
    <col min="11528" max="11528" width="14.09765625" bestFit="1" customWidth="1"/>
    <col min="11529" max="11529" width="4.796875" bestFit="1" customWidth="1"/>
    <col min="11530" max="11530" width="15.59765625" bestFit="1" customWidth="1"/>
    <col min="11531" max="11531" width="9.796875" customWidth="1"/>
    <col min="11532" max="11532" width="10.09765625" customWidth="1"/>
    <col min="11533" max="11533" width="37.796875" customWidth="1"/>
    <col min="11535" max="11535" width="24.796875" customWidth="1"/>
    <col min="11777" max="11777" width="5.09765625" customWidth="1"/>
    <col min="11778" max="11778" width="28.796875" customWidth="1"/>
    <col min="11779" max="11779" width="1.796875" bestFit="1" customWidth="1"/>
    <col min="11781" max="11781" width="25.59765625" customWidth="1"/>
    <col min="11782" max="11782" width="10.5" bestFit="1" customWidth="1"/>
    <col min="11783" max="11783" width="10" bestFit="1" customWidth="1"/>
    <col min="11784" max="11784" width="14.09765625" bestFit="1" customWidth="1"/>
    <col min="11785" max="11785" width="4.796875" bestFit="1" customWidth="1"/>
    <col min="11786" max="11786" width="15.59765625" bestFit="1" customWidth="1"/>
    <col min="11787" max="11787" width="9.796875" customWidth="1"/>
    <col min="11788" max="11788" width="10.09765625" customWidth="1"/>
    <col min="11789" max="11789" width="37.796875" customWidth="1"/>
    <col min="11791" max="11791" width="24.796875" customWidth="1"/>
    <col min="12033" max="12033" width="5.09765625" customWidth="1"/>
    <col min="12034" max="12034" width="28.796875" customWidth="1"/>
    <col min="12035" max="12035" width="1.796875" bestFit="1" customWidth="1"/>
    <col min="12037" max="12037" width="25.59765625" customWidth="1"/>
    <col min="12038" max="12038" width="10.5" bestFit="1" customWidth="1"/>
    <col min="12039" max="12039" width="10" bestFit="1" customWidth="1"/>
    <col min="12040" max="12040" width="14.09765625" bestFit="1" customWidth="1"/>
    <col min="12041" max="12041" width="4.796875" bestFit="1" customWidth="1"/>
    <col min="12042" max="12042" width="15.59765625" bestFit="1" customWidth="1"/>
    <col min="12043" max="12043" width="9.796875" customWidth="1"/>
    <col min="12044" max="12044" width="10.09765625" customWidth="1"/>
    <col min="12045" max="12045" width="37.796875" customWidth="1"/>
    <col min="12047" max="12047" width="24.796875" customWidth="1"/>
    <col min="12289" max="12289" width="5.09765625" customWidth="1"/>
    <col min="12290" max="12290" width="28.796875" customWidth="1"/>
    <col min="12291" max="12291" width="1.796875" bestFit="1" customWidth="1"/>
    <col min="12293" max="12293" width="25.59765625" customWidth="1"/>
    <col min="12294" max="12294" width="10.5" bestFit="1" customWidth="1"/>
    <col min="12295" max="12295" width="10" bestFit="1" customWidth="1"/>
    <col min="12296" max="12296" width="14.09765625" bestFit="1" customWidth="1"/>
    <col min="12297" max="12297" width="4.796875" bestFit="1" customWidth="1"/>
    <col min="12298" max="12298" width="15.59765625" bestFit="1" customWidth="1"/>
    <col min="12299" max="12299" width="9.796875" customWidth="1"/>
    <col min="12300" max="12300" width="10.09765625" customWidth="1"/>
    <col min="12301" max="12301" width="37.796875" customWidth="1"/>
    <col min="12303" max="12303" width="24.796875" customWidth="1"/>
    <col min="12545" max="12545" width="5.09765625" customWidth="1"/>
    <col min="12546" max="12546" width="28.796875" customWidth="1"/>
    <col min="12547" max="12547" width="1.796875" bestFit="1" customWidth="1"/>
    <col min="12549" max="12549" width="25.59765625" customWidth="1"/>
    <col min="12550" max="12550" width="10.5" bestFit="1" customWidth="1"/>
    <col min="12551" max="12551" width="10" bestFit="1" customWidth="1"/>
    <col min="12552" max="12552" width="14.09765625" bestFit="1" customWidth="1"/>
    <col min="12553" max="12553" width="4.796875" bestFit="1" customWidth="1"/>
    <col min="12554" max="12554" width="15.59765625" bestFit="1" customWidth="1"/>
    <col min="12555" max="12555" width="9.796875" customWidth="1"/>
    <col min="12556" max="12556" width="10.09765625" customWidth="1"/>
    <col min="12557" max="12557" width="37.796875" customWidth="1"/>
    <col min="12559" max="12559" width="24.796875" customWidth="1"/>
    <col min="12801" max="12801" width="5.09765625" customWidth="1"/>
    <col min="12802" max="12802" width="28.796875" customWidth="1"/>
    <col min="12803" max="12803" width="1.796875" bestFit="1" customWidth="1"/>
    <col min="12805" max="12805" width="25.59765625" customWidth="1"/>
    <col min="12806" max="12806" width="10.5" bestFit="1" customWidth="1"/>
    <col min="12807" max="12807" width="10" bestFit="1" customWidth="1"/>
    <col min="12808" max="12808" width="14.09765625" bestFit="1" customWidth="1"/>
    <col min="12809" max="12809" width="4.796875" bestFit="1" customWidth="1"/>
    <col min="12810" max="12810" width="15.59765625" bestFit="1" customWidth="1"/>
    <col min="12811" max="12811" width="9.796875" customWidth="1"/>
    <col min="12812" max="12812" width="10.09765625" customWidth="1"/>
    <col min="12813" max="12813" width="37.796875" customWidth="1"/>
    <col min="12815" max="12815" width="24.796875" customWidth="1"/>
    <col min="13057" max="13057" width="5.09765625" customWidth="1"/>
    <col min="13058" max="13058" width="28.796875" customWidth="1"/>
    <col min="13059" max="13059" width="1.796875" bestFit="1" customWidth="1"/>
    <col min="13061" max="13061" width="25.59765625" customWidth="1"/>
    <col min="13062" max="13062" width="10.5" bestFit="1" customWidth="1"/>
    <col min="13063" max="13063" width="10" bestFit="1" customWidth="1"/>
    <col min="13064" max="13064" width="14.09765625" bestFit="1" customWidth="1"/>
    <col min="13065" max="13065" width="4.796875" bestFit="1" customWidth="1"/>
    <col min="13066" max="13066" width="15.59765625" bestFit="1" customWidth="1"/>
    <col min="13067" max="13067" width="9.796875" customWidth="1"/>
    <col min="13068" max="13068" width="10.09765625" customWidth="1"/>
    <col min="13069" max="13069" width="37.796875" customWidth="1"/>
    <col min="13071" max="13071" width="24.796875" customWidth="1"/>
    <col min="13313" max="13313" width="5.09765625" customWidth="1"/>
    <col min="13314" max="13314" width="28.796875" customWidth="1"/>
    <col min="13315" max="13315" width="1.796875" bestFit="1" customWidth="1"/>
    <col min="13317" max="13317" width="25.59765625" customWidth="1"/>
    <col min="13318" max="13318" width="10.5" bestFit="1" customWidth="1"/>
    <col min="13319" max="13319" width="10" bestFit="1" customWidth="1"/>
    <col min="13320" max="13320" width="14.09765625" bestFit="1" customWidth="1"/>
    <col min="13321" max="13321" width="4.796875" bestFit="1" customWidth="1"/>
    <col min="13322" max="13322" width="15.59765625" bestFit="1" customWidth="1"/>
    <col min="13323" max="13323" width="9.796875" customWidth="1"/>
    <col min="13324" max="13324" width="10.09765625" customWidth="1"/>
    <col min="13325" max="13325" width="37.796875" customWidth="1"/>
    <col min="13327" max="13327" width="24.796875" customWidth="1"/>
    <col min="13569" max="13569" width="5.09765625" customWidth="1"/>
    <col min="13570" max="13570" width="28.796875" customWidth="1"/>
    <col min="13571" max="13571" width="1.796875" bestFit="1" customWidth="1"/>
    <col min="13573" max="13573" width="25.59765625" customWidth="1"/>
    <col min="13574" max="13574" width="10.5" bestFit="1" customWidth="1"/>
    <col min="13575" max="13575" width="10" bestFit="1" customWidth="1"/>
    <col min="13576" max="13576" width="14.09765625" bestFit="1" customWidth="1"/>
    <col min="13577" max="13577" width="4.796875" bestFit="1" customWidth="1"/>
    <col min="13578" max="13578" width="15.59765625" bestFit="1" customWidth="1"/>
    <col min="13579" max="13579" width="9.796875" customWidth="1"/>
    <col min="13580" max="13580" width="10.09765625" customWidth="1"/>
    <col min="13581" max="13581" width="37.796875" customWidth="1"/>
    <col min="13583" max="13583" width="24.796875" customWidth="1"/>
    <col min="13825" max="13825" width="5.09765625" customWidth="1"/>
    <col min="13826" max="13826" width="28.796875" customWidth="1"/>
    <col min="13827" max="13827" width="1.796875" bestFit="1" customWidth="1"/>
    <col min="13829" max="13829" width="25.59765625" customWidth="1"/>
    <col min="13830" max="13830" width="10.5" bestFit="1" customWidth="1"/>
    <col min="13831" max="13831" width="10" bestFit="1" customWidth="1"/>
    <col min="13832" max="13832" width="14.09765625" bestFit="1" customWidth="1"/>
    <col min="13833" max="13833" width="4.796875" bestFit="1" customWidth="1"/>
    <col min="13834" max="13834" width="15.59765625" bestFit="1" customWidth="1"/>
    <col min="13835" max="13835" width="9.796875" customWidth="1"/>
    <col min="13836" max="13836" width="10.09765625" customWidth="1"/>
    <col min="13837" max="13837" width="37.796875" customWidth="1"/>
    <col min="13839" max="13839" width="24.796875" customWidth="1"/>
    <col min="14081" max="14081" width="5.09765625" customWidth="1"/>
    <col min="14082" max="14082" width="28.796875" customWidth="1"/>
    <col min="14083" max="14083" width="1.796875" bestFit="1" customWidth="1"/>
    <col min="14085" max="14085" width="25.59765625" customWidth="1"/>
    <col min="14086" max="14086" width="10.5" bestFit="1" customWidth="1"/>
    <col min="14087" max="14087" width="10" bestFit="1" customWidth="1"/>
    <col min="14088" max="14088" width="14.09765625" bestFit="1" customWidth="1"/>
    <col min="14089" max="14089" width="4.796875" bestFit="1" customWidth="1"/>
    <col min="14090" max="14090" width="15.59765625" bestFit="1" customWidth="1"/>
    <col min="14091" max="14091" width="9.796875" customWidth="1"/>
    <col min="14092" max="14092" width="10.09765625" customWidth="1"/>
    <col min="14093" max="14093" width="37.796875" customWidth="1"/>
    <col min="14095" max="14095" width="24.796875" customWidth="1"/>
    <col min="14337" max="14337" width="5.09765625" customWidth="1"/>
    <col min="14338" max="14338" width="28.796875" customWidth="1"/>
    <col min="14339" max="14339" width="1.796875" bestFit="1" customWidth="1"/>
    <col min="14341" max="14341" width="25.59765625" customWidth="1"/>
    <col min="14342" max="14342" width="10.5" bestFit="1" customWidth="1"/>
    <col min="14343" max="14343" width="10" bestFit="1" customWidth="1"/>
    <col min="14344" max="14344" width="14.09765625" bestFit="1" customWidth="1"/>
    <col min="14345" max="14345" width="4.796875" bestFit="1" customWidth="1"/>
    <col min="14346" max="14346" width="15.59765625" bestFit="1" customWidth="1"/>
    <col min="14347" max="14347" width="9.796875" customWidth="1"/>
    <col min="14348" max="14348" width="10.09765625" customWidth="1"/>
    <col min="14349" max="14349" width="37.796875" customWidth="1"/>
    <col min="14351" max="14351" width="24.796875" customWidth="1"/>
    <col min="14593" max="14593" width="5.09765625" customWidth="1"/>
    <col min="14594" max="14594" width="28.796875" customWidth="1"/>
    <col min="14595" max="14595" width="1.796875" bestFit="1" customWidth="1"/>
    <col min="14597" max="14597" width="25.59765625" customWidth="1"/>
    <col min="14598" max="14598" width="10.5" bestFit="1" customWidth="1"/>
    <col min="14599" max="14599" width="10" bestFit="1" customWidth="1"/>
    <col min="14600" max="14600" width="14.09765625" bestFit="1" customWidth="1"/>
    <col min="14601" max="14601" width="4.796875" bestFit="1" customWidth="1"/>
    <col min="14602" max="14602" width="15.59765625" bestFit="1" customWidth="1"/>
    <col min="14603" max="14603" width="9.796875" customWidth="1"/>
    <col min="14604" max="14604" width="10.09765625" customWidth="1"/>
    <col min="14605" max="14605" width="37.796875" customWidth="1"/>
    <col min="14607" max="14607" width="24.796875" customWidth="1"/>
    <col min="14849" max="14849" width="5.09765625" customWidth="1"/>
    <col min="14850" max="14850" width="28.796875" customWidth="1"/>
    <col min="14851" max="14851" width="1.796875" bestFit="1" customWidth="1"/>
    <col min="14853" max="14853" width="25.59765625" customWidth="1"/>
    <col min="14854" max="14854" width="10.5" bestFit="1" customWidth="1"/>
    <col min="14855" max="14855" width="10" bestFit="1" customWidth="1"/>
    <col min="14856" max="14856" width="14.09765625" bestFit="1" customWidth="1"/>
    <col min="14857" max="14857" width="4.796875" bestFit="1" customWidth="1"/>
    <col min="14858" max="14858" width="15.59765625" bestFit="1" customWidth="1"/>
    <col min="14859" max="14859" width="9.796875" customWidth="1"/>
    <col min="14860" max="14860" width="10.09765625" customWidth="1"/>
    <col min="14861" max="14861" width="37.796875" customWidth="1"/>
    <col min="14863" max="14863" width="24.796875" customWidth="1"/>
    <col min="15105" max="15105" width="5.09765625" customWidth="1"/>
    <col min="15106" max="15106" width="28.796875" customWidth="1"/>
    <col min="15107" max="15107" width="1.796875" bestFit="1" customWidth="1"/>
    <col min="15109" max="15109" width="25.59765625" customWidth="1"/>
    <col min="15110" max="15110" width="10.5" bestFit="1" customWidth="1"/>
    <col min="15111" max="15111" width="10" bestFit="1" customWidth="1"/>
    <col min="15112" max="15112" width="14.09765625" bestFit="1" customWidth="1"/>
    <col min="15113" max="15113" width="4.796875" bestFit="1" customWidth="1"/>
    <col min="15114" max="15114" width="15.59765625" bestFit="1" customWidth="1"/>
    <col min="15115" max="15115" width="9.796875" customWidth="1"/>
    <col min="15116" max="15116" width="10.09765625" customWidth="1"/>
    <col min="15117" max="15117" width="37.796875" customWidth="1"/>
    <col min="15119" max="15119" width="24.796875" customWidth="1"/>
    <col min="15361" max="15361" width="5.09765625" customWidth="1"/>
    <col min="15362" max="15362" width="28.796875" customWidth="1"/>
    <col min="15363" max="15363" width="1.796875" bestFit="1" customWidth="1"/>
    <col min="15365" max="15365" width="25.59765625" customWidth="1"/>
    <col min="15366" max="15366" width="10.5" bestFit="1" customWidth="1"/>
    <col min="15367" max="15367" width="10" bestFit="1" customWidth="1"/>
    <col min="15368" max="15368" width="14.09765625" bestFit="1" customWidth="1"/>
    <col min="15369" max="15369" width="4.796875" bestFit="1" customWidth="1"/>
    <col min="15370" max="15370" width="15.59765625" bestFit="1" customWidth="1"/>
    <col min="15371" max="15371" width="9.796875" customWidth="1"/>
    <col min="15372" max="15372" width="10.09765625" customWidth="1"/>
    <col min="15373" max="15373" width="37.796875" customWidth="1"/>
    <col min="15375" max="15375" width="24.796875" customWidth="1"/>
    <col min="15617" max="15617" width="5.09765625" customWidth="1"/>
    <col min="15618" max="15618" width="28.796875" customWidth="1"/>
    <col min="15619" max="15619" width="1.796875" bestFit="1" customWidth="1"/>
    <col min="15621" max="15621" width="25.59765625" customWidth="1"/>
    <col min="15622" max="15622" width="10.5" bestFit="1" customWidth="1"/>
    <col min="15623" max="15623" width="10" bestFit="1" customWidth="1"/>
    <col min="15624" max="15624" width="14.09765625" bestFit="1" customWidth="1"/>
    <col min="15625" max="15625" width="4.796875" bestFit="1" customWidth="1"/>
    <col min="15626" max="15626" width="15.59765625" bestFit="1" customWidth="1"/>
    <col min="15627" max="15627" width="9.796875" customWidth="1"/>
    <col min="15628" max="15628" width="10.09765625" customWidth="1"/>
    <col min="15629" max="15629" width="37.796875" customWidth="1"/>
    <col min="15631" max="15631" width="24.796875" customWidth="1"/>
    <col min="15873" max="15873" width="5.09765625" customWidth="1"/>
    <col min="15874" max="15874" width="28.796875" customWidth="1"/>
    <col min="15875" max="15875" width="1.796875" bestFit="1" customWidth="1"/>
    <col min="15877" max="15877" width="25.59765625" customWidth="1"/>
    <col min="15878" max="15878" width="10.5" bestFit="1" customWidth="1"/>
    <col min="15879" max="15879" width="10" bestFit="1" customWidth="1"/>
    <col min="15880" max="15880" width="14.09765625" bestFit="1" customWidth="1"/>
    <col min="15881" max="15881" width="4.796875" bestFit="1" customWidth="1"/>
    <col min="15882" max="15882" width="15.59765625" bestFit="1" customWidth="1"/>
    <col min="15883" max="15883" width="9.796875" customWidth="1"/>
    <col min="15884" max="15884" width="10.09765625" customWidth="1"/>
    <col min="15885" max="15885" width="37.796875" customWidth="1"/>
    <col min="15887" max="15887" width="24.796875" customWidth="1"/>
    <col min="16129" max="16129" width="5.09765625" customWidth="1"/>
    <col min="16130" max="16130" width="28.796875" customWidth="1"/>
    <col min="16131" max="16131" width="1.796875" bestFit="1" customWidth="1"/>
    <col min="16133" max="16133" width="25.59765625" customWidth="1"/>
    <col min="16134" max="16134" width="10.5" bestFit="1" customWidth="1"/>
    <col min="16135" max="16135" width="10" bestFit="1" customWidth="1"/>
    <col min="16136" max="16136" width="14.09765625" bestFit="1" customWidth="1"/>
    <col min="16137" max="16137" width="4.796875" bestFit="1" customWidth="1"/>
    <col min="16138" max="16138" width="15.59765625" bestFit="1" customWidth="1"/>
    <col min="16139" max="16139" width="9.796875" customWidth="1"/>
    <col min="16140" max="16140" width="10.09765625" customWidth="1"/>
    <col min="16141" max="16141" width="37.796875" customWidth="1"/>
    <col min="16143" max="16143" width="24.796875" customWidth="1"/>
  </cols>
  <sheetData>
    <row r="1" spans="1:12" x14ac:dyDescent="0.25">
      <c r="B1" s="1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517</v>
      </c>
      <c r="J1" s="2" t="s">
        <v>5</v>
      </c>
    </row>
    <row r="2" spans="1:12" ht="15.6" x14ac:dyDescent="0.3">
      <c r="A2">
        <v>1</v>
      </c>
      <c r="B2" s="81" t="s">
        <v>420</v>
      </c>
      <c r="C2">
        <v>1</v>
      </c>
      <c r="D2" s="78"/>
      <c r="E2" s="6">
        <v>46053</v>
      </c>
      <c r="F2" s="7" t="s">
        <v>7</v>
      </c>
      <c r="G2" s="8" t="s">
        <v>295</v>
      </c>
      <c r="J2" s="9"/>
    </row>
    <row r="3" spans="1:12" ht="15.6" x14ac:dyDescent="0.3">
      <c r="B3" s="79"/>
      <c r="C3" s="11">
        <v>2</v>
      </c>
      <c r="D3" s="11">
        <v>0</v>
      </c>
      <c r="E3" s="14" t="s">
        <v>10</v>
      </c>
      <c r="F3" s="83">
        <v>24.17</v>
      </c>
      <c r="G3" s="80">
        <v>35</v>
      </c>
      <c r="H3" t="s">
        <v>8</v>
      </c>
      <c r="I3">
        <v>6203</v>
      </c>
      <c r="J3" s="147">
        <f>F3*G3</f>
        <v>845.95</v>
      </c>
    </row>
    <row r="4" spans="1:12" ht="15.6" x14ac:dyDescent="0.3">
      <c r="A4">
        <v>2</v>
      </c>
      <c r="B4" s="4" t="s">
        <v>430</v>
      </c>
      <c r="C4">
        <v>1</v>
      </c>
      <c r="D4" s="13"/>
      <c r="E4" s="6">
        <v>46053</v>
      </c>
      <c r="F4" s="7" t="s">
        <v>7</v>
      </c>
      <c r="G4" s="8" t="s">
        <v>295</v>
      </c>
      <c r="J4" s="9"/>
    </row>
    <row r="5" spans="1:12" ht="15.6" x14ac:dyDescent="0.3">
      <c r="C5" s="11">
        <v>2</v>
      </c>
      <c r="D5" s="11">
        <v>0</v>
      </c>
      <c r="E5" s="14" t="s">
        <v>9</v>
      </c>
      <c r="F5" s="64">
        <v>109.75</v>
      </c>
      <c r="G5" s="12">
        <v>35</v>
      </c>
      <c r="H5" t="s">
        <v>8</v>
      </c>
      <c r="I5">
        <v>6203</v>
      </c>
      <c r="J5" s="9">
        <f>F5*G5</f>
        <v>3841.25</v>
      </c>
    </row>
    <row r="6" spans="1:12" x14ac:dyDescent="0.25">
      <c r="A6">
        <v>3</v>
      </c>
      <c r="B6" s="19" t="s">
        <v>17</v>
      </c>
      <c r="C6">
        <v>1</v>
      </c>
      <c r="D6" s="5"/>
      <c r="E6" s="6">
        <v>46053</v>
      </c>
      <c r="F6" s="7" t="s">
        <v>7</v>
      </c>
      <c r="G6" s="8" t="s">
        <v>295</v>
      </c>
      <c r="J6" s="9"/>
    </row>
    <row r="7" spans="1:12" ht="15.6" x14ac:dyDescent="0.3">
      <c r="B7" s="16"/>
      <c r="C7" s="11">
        <v>2</v>
      </c>
      <c r="D7" s="11">
        <v>0</v>
      </c>
      <c r="E7" s="6" t="s">
        <v>12</v>
      </c>
      <c r="F7" s="64">
        <v>35.08</v>
      </c>
      <c r="G7" s="12">
        <v>35</v>
      </c>
      <c r="H7" t="s">
        <v>8</v>
      </c>
      <c r="I7">
        <v>6203</v>
      </c>
      <c r="J7" s="17">
        <f>F7*G7</f>
        <v>1227.8</v>
      </c>
      <c r="K7" s="18"/>
      <c r="L7" s="18"/>
    </row>
    <row r="8" spans="1:12" ht="13.5" customHeight="1" x14ac:dyDescent="0.25">
      <c r="A8">
        <v>4</v>
      </c>
      <c r="B8" s="20" t="s">
        <v>431</v>
      </c>
      <c r="C8">
        <v>1</v>
      </c>
      <c r="E8" s="6">
        <v>46053</v>
      </c>
      <c r="F8" s="21" t="s">
        <v>7</v>
      </c>
      <c r="G8" s="8" t="s">
        <v>295</v>
      </c>
      <c r="J8" s="9"/>
    </row>
    <row r="9" spans="1:12" ht="15.6" x14ac:dyDescent="0.3">
      <c r="C9" s="11">
        <v>2</v>
      </c>
      <c r="D9" s="11">
        <v>0</v>
      </c>
      <c r="E9" s="14" t="s">
        <v>10</v>
      </c>
      <c r="F9" s="82">
        <v>373.38</v>
      </c>
      <c r="G9">
        <v>35</v>
      </c>
      <c r="H9" t="s">
        <v>8</v>
      </c>
      <c r="I9">
        <v>6203</v>
      </c>
      <c r="J9" s="17">
        <f>F9*G9</f>
        <v>13068.3</v>
      </c>
    </row>
    <row r="10" spans="1:12" x14ac:dyDescent="0.25">
      <c r="A10">
        <v>5</v>
      </c>
      <c r="B10" s="19" t="s">
        <v>175</v>
      </c>
      <c r="C10">
        <v>1</v>
      </c>
      <c r="D10" s="5"/>
      <c r="E10" s="6">
        <v>46053</v>
      </c>
      <c r="F10" s="7" t="s">
        <v>7</v>
      </c>
      <c r="G10" s="8" t="s">
        <v>295</v>
      </c>
      <c r="J10" s="9"/>
    </row>
    <row r="11" spans="1:12" ht="15.6" x14ac:dyDescent="0.3">
      <c r="B11" s="16"/>
      <c r="C11" s="11">
        <v>2</v>
      </c>
      <c r="D11" s="11">
        <v>0</v>
      </c>
      <c r="E11" s="6" t="s">
        <v>10</v>
      </c>
      <c r="F11" s="64">
        <v>13</v>
      </c>
      <c r="G11" s="12">
        <v>35</v>
      </c>
      <c r="H11" t="s">
        <v>8</v>
      </c>
      <c r="I11">
        <v>6203</v>
      </c>
      <c r="J11" s="17">
        <f>F11*G11</f>
        <v>455</v>
      </c>
      <c r="K11" s="18"/>
      <c r="L11" s="18"/>
    </row>
    <row r="12" spans="1:12" x14ac:dyDescent="0.25">
      <c r="A12">
        <v>6</v>
      </c>
      <c r="B12" s="19" t="s">
        <v>13</v>
      </c>
      <c r="C12">
        <v>1</v>
      </c>
      <c r="D12" s="5"/>
      <c r="E12" s="6">
        <v>46053</v>
      </c>
      <c r="F12" s="7" t="s">
        <v>7</v>
      </c>
      <c r="G12" s="8" t="s">
        <v>295</v>
      </c>
      <c r="J12" s="9"/>
    </row>
    <row r="13" spans="1:12" ht="15.6" x14ac:dyDescent="0.3">
      <c r="B13" s="16"/>
      <c r="C13" s="11">
        <v>2</v>
      </c>
      <c r="D13" s="11">
        <v>0</v>
      </c>
      <c r="E13" s="6" t="s">
        <v>10</v>
      </c>
      <c r="F13" s="82">
        <v>280.35000000000002</v>
      </c>
      <c r="G13" s="12">
        <v>35</v>
      </c>
      <c r="H13" t="s">
        <v>8</v>
      </c>
      <c r="I13">
        <v>6203</v>
      </c>
      <c r="J13" s="17">
        <f>F13*G13</f>
        <v>9812.25</v>
      </c>
      <c r="K13" s="18"/>
      <c r="L13" s="18"/>
    </row>
    <row r="14" spans="1:12" x14ac:dyDescent="0.25">
      <c r="A14">
        <v>7</v>
      </c>
      <c r="B14" s="19" t="s">
        <v>14</v>
      </c>
      <c r="C14">
        <v>1</v>
      </c>
      <c r="D14" s="5"/>
      <c r="E14" s="6">
        <v>46053</v>
      </c>
      <c r="F14" s="7" t="s">
        <v>7</v>
      </c>
      <c r="G14" s="8" t="s">
        <v>295</v>
      </c>
      <c r="J14" s="9"/>
    </row>
    <row r="15" spans="1:12" ht="15.6" x14ac:dyDescent="0.3">
      <c r="B15" s="16"/>
      <c r="C15" s="11">
        <v>2</v>
      </c>
      <c r="D15" s="11">
        <v>0</v>
      </c>
      <c r="E15" s="6" t="s">
        <v>10</v>
      </c>
      <c r="F15" s="64">
        <v>650.25</v>
      </c>
      <c r="G15" s="12">
        <v>32</v>
      </c>
      <c r="H15" t="s">
        <v>8</v>
      </c>
      <c r="I15">
        <v>6203</v>
      </c>
      <c r="J15" s="17">
        <f>F15*G15</f>
        <v>20808</v>
      </c>
      <c r="K15" s="18"/>
      <c r="L15" s="18"/>
    </row>
    <row r="16" spans="1:12" x14ac:dyDescent="0.25">
      <c r="A16">
        <v>8</v>
      </c>
      <c r="B16" s="19" t="s">
        <v>15</v>
      </c>
      <c r="C16">
        <v>1</v>
      </c>
      <c r="D16" s="5"/>
      <c r="E16" s="6">
        <v>46053</v>
      </c>
      <c r="F16" s="7" t="s">
        <v>7</v>
      </c>
      <c r="G16" s="8" t="s">
        <v>295</v>
      </c>
      <c r="J16" s="9"/>
    </row>
    <row r="17" spans="1:12" ht="15.6" x14ac:dyDescent="0.3">
      <c r="B17" s="16"/>
      <c r="C17" s="11">
        <v>2</v>
      </c>
      <c r="D17" s="11">
        <v>0</v>
      </c>
      <c r="E17" s="6" t="s">
        <v>10</v>
      </c>
      <c r="F17" s="82">
        <v>533</v>
      </c>
      <c r="G17" s="12">
        <v>35</v>
      </c>
      <c r="H17" t="s">
        <v>8</v>
      </c>
      <c r="I17">
        <v>6203</v>
      </c>
      <c r="J17" s="17">
        <f>F17*G17</f>
        <v>18655</v>
      </c>
      <c r="K17" s="18"/>
      <c r="L17" s="18"/>
    </row>
    <row r="18" spans="1:12" x14ac:dyDescent="0.25">
      <c r="A18">
        <v>9</v>
      </c>
      <c r="B18" s="19" t="s">
        <v>16</v>
      </c>
      <c r="C18">
        <v>1</v>
      </c>
      <c r="D18" s="5"/>
      <c r="E18" s="6">
        <v>46053</v>
      </c>
      <c r="F18" s="7" t="s">
        <v>7</v>
      </c>
      <c r="G18" s="8" t="s">
        <v>295</v>
      </c>
      <c r="J18" s="9"/>
    </row>
    <row r="19" spans="1:12" ht="15.6" x14ac:dyDescent="0.3">
      <c r="B19" s="16"/>
      <c r="C19" s="11">
        <v>2</v>
      </c>
      <c r="D19" s="11">
        <v>0</v>
      </c>
      <c r="E19" s="6" t="s">
        <v>10</v>
      </c>
      <c r="F19" s="64">
        <v>361</v>
      </c>
      <c r="G19" s="12">
        <v>35</v>
      </c>
      <c r="H19" t="s">
        <v>8</v>
      </c>
      <c r="I19">
        <v>6203</v>
      </c>
      <c r="J19" s="17">
        <f>F19*G19</f>
        <v>12635</v>
      </c>
      <c r="K19" s="18"/>
      <c r="L19" s="18"/>
    </row>
    <row r="20" spans="1:12" ht="13.5" customHeight="1" x14ac:dyDescent="0.25">
      <c r="A20">
        <v>10</v>
      </c>
      <c r="B20" s="20" t="s">
        <v>6</v>
      </c>
      <c r="C20">
        <v>1</v>
      </c>
      <c r="E20" s="6">
        <v>46053</v>
      </c>
      <c r="F20" s="21" t="s">
        <v>7</v>
      </c>
      <c r="G20" s="8" t="s">
        <v>295</v>
      </c>
      <c r="J20" s="9"/>
    </row>
    <row r="21" spans="1:12" ht="15.6" x14ac:dyDescent="0.3">
      <c r="C21" s="11">
        <v>2</v>
      </c>
      <c r="D21" s="11">
        <v>0</v>
      </c>
      <c r="E21" s="14" t="s">
        <v>10</v>
      </c>
      <c r="F21" s="82">
        <v>916</v>
      </c>
      <c r="G21" s="62">
        <v>35</v>
      </c>
      <c r="H21" t="s">
        <v>8</v>
      </c>
      <c r="I21">
        <v>6203</v>
      </c>
      <c r="J21" s="17">
        <f>F21*G21</f>
        <v>32060</v>
      </c>
    </row>
    <row r="22" spans="1:12" ht="13.5" customHeight="1" x14ac:dyDescent="0.25">
      <c r="A22">
        <v>11</v>
      </c>
      <c r="B22" s="20" t="s">
        <v>433</v>
      </c>
      <c r="C22">
        <v>1</v>
      </c>
      <c r="E22" s="6">
        <v>46053</v>
      </c>
      <c r="F22" s="21" t="s">
        <v>7</v>
      </c>
      <c r="G22" s="8" t="s">
        <v>295</v>
      </c>
      <c r="J22" s="9"/>
    </row>
    <row r="23" spans="1:12" ht="15.6" x14ac:dyDescent="0.3">
      <c r="C23" s="11">
        <v>2</v>
      </c>
      <c r="D23" s="11">
        <v>0</v>
      </c>
      <c r="E23" s="14" t="s">
        <v>434</v>
      </c>
      <c r="F23" s="82">
        <v>68.5</v>
      </c>
      <c r="G23">
        <v>35</v>
      </c>
      <c r="H23" t="s">
        <v>8</v>
      </c>
      <c r="I23">
        <v>6203</v>
      </c>
      <c r="J23" s="17">
        <f>F23*G23</f>
        <v>2397.5</v>
      </c>
    </row>
    <row r="24" spans="1:12" ht="13.5" customHeight="1" x14ac:dyDescent="0.25">
      <c r="A24">
        <v>12</v>
      </c>
      <c r="B24" s="20" t="s">
        <v>19</v>
      </c>
      <c r="C24">
        <v>1</v>
      </c>
      <c r="E24" s="6">
        <v>46053</v>
      </c>
      <c r="F24" s="21" t="s">
        <v>7</v>
      </c>
      <c r="G24" s="8" t="s">
        <v>295</v>
      </c>
      <c r="J24" s="9"/>
    </row>
    <row r="25" spans="1:12" ht="15.6" x14ac:dyDescent="0.3">
      <c r="C25" s="11">
        <v>2</v>
      </c>
      <c r="D25" s="11">
        <v>0</v>
      </c>
      <c r="E25" s="14" t="s">
        <v>10</v>
      </c>
      <c r="F25" s="64">
        <v>32</v>
      </c>
      <c r="G25">
        <v>35</v>
      </c>
      <c r="H25" t="s">
        <v>8</v>
      </c>
      <c r="I25">
        <v>6203</v>
      </c>
      <c r="J25" s="9">
        <f>F25*G25</f>
        <v>1120</v>
      </c>
    </row>
    <row r="26" spans="1:12" ht="13.5" customHeight="1" x14ac:dyDescent="0.25">
      <c r="A26">
        <v>13</v>
      </c>
      <c r="B26" s="20" t="s">
        <v>11</v>
      </c>
      <c r="C26">
        <v>1</v>
      </c>
      <c r="E26" s="6">
        <v>46053</v>
      </c>
      <c r="F26" s="21" t="s">
        <v>7</v>
      </c>
      <c r="G26" s="8" t="s">
        <v>295</v>
      </c>
      <c r="J26" s="9"/>
    </row>
    <row r="27" spans="1:12" ht="15.6" x14ac:dyDescent="0.3">
      <c r="C27" s="11">
        <v>2</v>
      </c>
      <c r="D27" s="11">
        <v>0</v>
      </c>
      <c r="E27" s="14" t="s">
        <v>10</v>
      </c>
      <c r="F27" s="64">
        <v>103</v>
      </c>
      <c r="G27">
        <v>35</v>
      </c>
      <c r="H27" t="s">
        <v>8</v>
      </c>
      <c r="I27">
        <v>6203</v>
      </c>
      <c r="J27" s="9">
        <f>F27*G27</f>
        <v>3605</v>
      </c>
    </row>
    <row r="28" spans="1:12" ht="13.5" customHeight="1" x14ac:dyDescent="0.25">
      <c r="A28">
        <v>14</v>
      </c>
      <c r="B28" s="20" t="s">
        <v>20</v>
      </c>
      <c r="C28">
        <v>1</v>
      </c>
      <c r="E28" s="6">
        <v>46053</v>
      </c>
      <c r="F28" s="21" t="s">
        <v>7</v>
      </c>
      <c r="G28" s="8" t="s">
        <v>295</v>
      </c>
      <c r="J28" s="9"/>
    </row>
    <row r="29" spans="1:12" ht="15.6" x14ac:dyDescent="0.3">
      <c r="C29" s="11">
        <v>2</v>
      </c>
      <c r="D29" s="11">
        <v>0</v>
      </c>
      <c r="E29" s="14" t="s">
        <v>10</v>
      </c>
      <c r="F29" s="82">
        <v>9.5</v>
      </c>
      <c r="G29">
        <v>35</v>
      </c>
      <c r="H29" t="s">
        <v>8</v>
      </c>
      <c r="I29">
        <v>6203</v>
      </c>
      <c r="J29" s="17">
        <f>F29*G29</f>
        <v>332.5</v>
      </c>
    </row>
    <row r="30" spans="1:12" ht="13.5" customHeight="1" x14ac:dyDescent="0.25">
      <c r="A30">
        <v>15</v>
      </c>
      <c r="B30" s="20" t="s">
        <v>405</v>
      </c>
      <c r="C30">
        <v>1</v>
      </c>
      <c r="E30" s="6">
        <v>46053</v>
      </c>
      <c r="F30" s="21" t="s">
        <v>7</v>
      </c>
      <c r="G30" s="8" t="s">
        <v>295</v>
      </c>
      <c r="J30" s="9"/>
    </row>
    <row r="31" spans="1:12" ht="15.6" x14ac:dyDescent="0.3">
      <c r="C31" s="11">
        <v>2</v>
      </c>
      <c r="D31" s="11">
        <v>0</v>
      </c>
      <c r="E31" s="14" t="s">
        <v>10</v>
      </c>
      <c r="F31" s="82">
        <v>46</v>
      </c>
      <c r="G31">
        <v>35</v>
      </c>
      <c r="H31" t="s">
        <v>8</v>
      </c>
      <c r="I31">
        <v>6203</v>
      </c>
      <c r="J31" s="17">
        <f>F31*G31</f>
        <v>1610</v>
      </c>
    </row>
    <row r="32" spans="1:12" ht="13.5" customHeight="1" x14ac:dyDescent="0.25">
      <c r="A32">
        <v>16</v>
      </c>
      <c r="B32" s="20" t="s">
        <v>21</v>
      </c>
      <c r="C32">
        <v>1</v>
      </c>
      <c r="E32" s="6">
        <v>46053</v>
      </c>
      <c r="F32" s="21" t="s">
        <v>7</v>
      </c>
      <c r="G32" s="8" t="s">
        <v>295</v>
      </c>
      <c r="J32" s="9"/>
    </row>
    <row r="33" spans="1:10" ht="15.6" x14ac:dyDescent="0.3">
      <c r="C33" s="11">
        <v>2</v>
      </c>
      <c r="D33" s="11">
        <v>0</v>
      </c>
      <c r="E33" s="14" t="s">
        <v>10</v>
      </c>
      <c r="F33" s="64">
        <v>162.63</v>
      </c>
      <c r="G33">
        <v>35</v>
      </c>
      <c r="H33" t="s">
        <v>8</v>
      </c>
      <c r="I33">
        <v>6203</v>
      </c>
      <c r="J33" s="9">
        <f>F33*G33</f>
        <v>5692.05</v>
      </c>
    </row>
    <row r="34" spans="1:10" ht="13.5" customHeight="1" x14ac:dyDescent="0.25">
      <c r="A34">
        <v>17</v>
      </c>
      <c r="B34" s="20" t="s">
        <v>406</v>
      </c>
      <c r="C34">
        <v>1</v>
      </c>
      <c r="E34" s="6">
        <v>46053</v>
      </c>
      <c r="F34" s="21" t="s">
        <v>7</v>
      </c>
      <c r="G34" s="8" t="s">
        <v>295</v>
      </c>
      <c r="J34" s="9"/>
    </row>
    <row r="35" spans="1:10" ht="15.6" x14ac:dyDescent="0.3">
      <c r="C35" s="11">
        <v>2</v>
      </c>
      <c r="D35" s="11">
        <v>0</v>
      </c>
      <c r="E35" s="14" t="s">
        <v>10</v>
      </c>
      <c r="F35" s="82">
        <v>134</v>
      </c>
      <c r="G35">
        <v>32</v>
      </c>
      <c r="H35" t="s">
        <v>8</v>
      </c>
      <c r="I35">
        <v>6203</v>
      </c>
      <c r="J35" s="17">
        <f>F35*G35</f>
        <v>4288</v>
      </c>
    </row>
    <row r="36" spans="1:10" ht="13.5" customHeight="1" x14ac:dyDescent="0.25">
      <c r="A36">
        <v>18</v>
      </c>
      <c r="B36" s="20" t="s">
        <v>435</v>
      </c>
      <c r="C36">
        <v>1</v>
      </c>
      <c r="E36" s="6">
        <v>46053</v>
      </c>
      <c r="F36" s="21" t="s">
        <v>7</v>
      </c>
      <c r="G36" s="8" t="s">
        <v>295</v>
      </c>
      <c r="J36" s="9"/>
    </row>
    <row r="37" spans="1:10" ht="15.6" x14ac:dyDescent="0.3">
      <c r="C37" s="11">
        <v>2</v>
      </c>
      <c r="D37" s="11">
        <v>0</v>
      </c>
      <c r="E37" s="14" t="s">
        <v>10</v>
      </c>
      <c r="F37" s="82">
        <v>997</v>
      </c>
      <c r="G37">
        <v>32</v>
      </c>
      <c r="H37" t="s">
        <v>8</v>
      </c>
      <c r="I37">
        <v>6203</v>
      </c>
      <c r="J37" s="17">
        <f>F37*G37</f>
        <v>31904</v>
      </c>
    </row>
    <row r="38" spans="1:10" ht="13.5" customHeight="1" x14ac:dyDescent="0.25">
      <c r="A38">
        <v>19</v>
      </c>
      <c r="B38" s="20" t="s">
        <v>176</v>
      </c>
      <c r="C38">
        <v>1</v>
      </c>
      <c r="E38" s="6">
        <v>46053</v>
      </c>
      <c r="F38" s="21" t="s">
        <v>7</v>
      </c>
      <c r="G38" s="8" t="s">
        <v>295</v>
      </c>
      <c r="J38" s="9"/>
    </row>
    <row r="39" spans="1:10" ht="15.6" x14ac:dyDescent="0.3">
      <c r="C39" s="11">
        <v>2</v>
      </c>
      <c r="D39" s="11">
        <v>0</v>
      </c>
      <c r="E39" s="14" t="s">
        <v>10</v>
      </c>
      <c r="F39" s="82">
        <v>31</v>
      </c>
      <c r="G39">
        <v>35</v>
      </c>
      <c r="H39" t="s">
        <v>8</v>
      </c>
      <c r="I39">
        <v>6203</v>
      </c>
      <c r="J39" s="17">
        <f>F39*G39</f>
        <v>1085</v>
      </c>
    </row>
    <row r="40" spans="1:10" x14ac:dyDescent="0.25">
      <c r="A40">
        <v>20</v>
      </c>
      <c r="B40" s="1" t="s">
        <v>351</v>
      </c>
      <c r="C40">
        <v>1</v>
      </c>
      <c r="E40" s="6">
        <v>46053</v>
      </c>
      <c r="F40" s="21" t="s">
        <v>7</v>
      </c>
      <c r="G40" s="8" t="s">
        <v>296</v>
      </c>
      <c r="J40" s="22"/>
    </row>
    <row r="41" spans="1:10" ht="15.6" x14ac:dyDescent="0.3">
      <c r="C41" s="11">
        <v>2</v>
      </c>
      <c r="D41" s="11">
        <v>0</v>
      </c>
      <c r="E41" s="14" t="s">
        <v>439</v>
      </c>
      <c r="F41" s="64">
        <v>88</v>
      </c>
      <c r="G41">
        <v>50</v>
      </c>
      <c r="H41" t="s">
        <v>22</v>
      </c>
      <c r="I41">
        <v>6203</v>
      </c>
      <c r="J41" s="84">
        <f>F41*G41</f>
        <v>4400</v>
      </c>
    </row>
    <row r="42" spans="1:10" x14ac:dyDescent="0.25">
      <c r="A42">
        <v>21</v>
      </c>
      <c r="B42" s="19" t="s">
        <v>24</v>
      </c>
      <c r="C42" s="22">
        <v>1</v>
      </c>
      <c r="D42" s="14"/>
      <c r="E42" s="6">
        <v>46053</v>
      </c>
      <c r="F42" s="7" t="s">
        <v>7</v>
      </c>
      <c r="G42" s="8" t="s">
        <v>296</v>
      </c>
      <c r="J42" s="23"/>
    </row>
    <row r="43" spans="1:10" ht="15.6" x14ac:dyDescent="0.3">
      <c r="B43" s="24"/>
      <c r="C43" s="11">
        <v>2</v>
      </c>
      <c r="D43" s="11">
        <v>0</v>
      </c>
      <c r="E43" s="14" t="s">
        <v>10</v>
      </c>
      <c r="F43" s="64">
        <v>90.67</v>
      </c>
      <c r="G43" s="12">
        <v>35</v>
      </c>
      <c r="H43" t="s">
        <v>22</v>
      </c>
      <c r="I43">
        <v>6203</v>
      </c>
      <c r="J43" s="23">
        <f>F43*G43</f>
        <v>3173.4500000000003</v>
      </c>
    </row>
    <row r="44" spans="1:10" x14ac:dyDescent="0.25">
      <c r="A44">
        <v>22</v>
      </c>
      <c r="B44" s="19" t="s">
        <v>23</v>
      </c>
      <c r="C44" s="22">
        <v>1</v>
      </c>
      <c r="D44" s="14"/>
      <c r="E44" s="6">
        <v>46053</v>
      </c>
      <c r="F44" s="7" t="s">
        <v>7</v>
      </c>
      <c r="G44" s="8" t="s">
        <v>296</v>
      </c>
      <c r="J44" s="23"/>
    </row>
    <row r="45" spans="1:10" ht="15.6" x14ac:dyDescent="0.3">
      <c r="B45" s="24"/>
      <c r="C45" s="11">
        <v>2</v>
      </c>
      <c r="D45" s="11">
        <v>0</v>
      </c>
      <c r="E45" s="14" t="s">
        <v>26</v>
      </c>
      <c r="F45" s="82">
        <v>22.75</v>
      </c>
      <c r="G45" s="12">
        <v>35</v>
      </c>
      <c r="H45" t="s">
        <v>22</v>
      </c>
      <c r="I45">
        <v>6203</v>
      </c>
      <c r="J45" s="84">
        <f>F45*G45</f>
        <v>796.25</v>
      </c>
    </row>
    <row r="46" spans="1:10" x14ac:dyDescent="0.25">
      <c r="A46">
        <v>23</v>
      </c>
      <c r="B46" s="19" t="s">
        <v>25</v>
      </c>
      <c r="C46" s="22">
        <v>1</v>
      </c>
      <c r="D46" s="14"/>
      <c r="E46" s="6">
        <v>46053</v>
      </c>
      <c r="F46" s="7" t="s">
        <v>7</v>
      </c>
      <c r="G46" s="8" t="s">
        <v>296</v>
      </c>
      <c r="J46" s="23"/>
    </row>
    <row r="47" spans="1:10" ht="15.6" x14ac:dyDescent="0.3">
      <c r="B47" s="24"/>
      <c r="C47" s="11">
        <v>2</v>
      </c>
      <c r="D47" s="11">
        <v>0</v>
      </c>
      <c r="E47" s="14" t="s">
        <v>10</v>
      </c>
      <c r="F47" s="64">
        <v>32.67</v>
      </c>
      <c r="G47" s="12">
        <v>35</v>
      </c>
      <c r="H47" t="s">
        <v>22</v>
      </c>
      <c r="I47">
        <v>6203</v>
      </c>
      <c r="J47" s="23">
        <f>F47*G47</f>
        <v>1143.45</v>
      </c>
    </row>
    <row r="48" spans="1:10" x14ac:dyDescent="0.25">
      <c r="A48">
        <v>20</v>
      </c>
      <c r="B48" s="204" t="s">
        <v>543</v>
      </c>
      <c r="C48" s="194">
        <v>1</v>
      </c>
      <c r="D48" s="194"/>
      <c r="E48" s="196">
        <v>46053</v>
      </c>
      <c r="F48" s="205" t="s">
        <v>7</v>
      </c>
      <c r="G48" s="198" t="s">
        <v>296</v>
      </c>
      <c r="H48" s="194"/>
      <c r="I48" s="194"/>
      <c r="J48" s="23"/>
    </row>
    <row r="49" spans="1:12" ht="15.6" x14ac:dyDescent="0.3">
      <c r="B49" s="206"/>
      <c r="C49" s="199">
        <v>2</v>
      </c>
      <c r="D49" s="199">
        <v>0</v>
      </c>
      <c r="E49" s="207" t="s">
        <v>544</v>
      </c>
      <c r="F49" s="203">
        <v>1</v>
      </c>
      <c r="G49" s="194">
        <v>853.4</v>
      </c>
      <c r="H49" s="194" t="s">
        <v>22</v>
      </c>
      <c r="I49" s="194">
        <v>6203</v>
      </c>
      <c r="J49" s="84">
        <f>F49*G49</f>
        <v>853.4</v>
      </c>
      <c r="K49" t="s">
        <v>548</v>
      </c>
    </row>
    <row r="50" spans="1:12" x14ac:dyDescent="0.25">
      <c r="A50">
        <v>21</v>
      </c>
      <c r="B50" s="208" t="s">
        <v>545</v>
      </c>
      <c r="C50" s="23">
        <v>1</v>
      </c>
      <c r="D50" s="207"/>
      <c r="E50" s="196">
        <v>46053</v>
      </c>
      <c r="F50" s="197" t="s">
        <v>7</v>
      </c>
      <c r="G50" s="198" t="s">
        <v>296</v>
      </c>
      <c r="H50" s="194"/>
      <c r="I50" s="194"/>
      <c r="J50" s="23"/>
    </row>
    <row r="51" spans="1:12" ht="15.6" x14ac:dyDescent="0.3">
      <c r="B51" s="209"/>
      <c r="C51" s="199">
        <v>2</v>
      </c>
      <c r="D51" s="199">
        <v>0</v>
      </c>
      <c r="E51" s="207" t="s">
        <v>544</v>
      </c>
      <c r="F51" s="203">
        <v>1</v>
      </c>
      <c r="G51" s="202">
        <v>1115</v>
      </c>
      <c r="H51" s="194" t="s">
        <v>22</v>
      </c>
      <c r="I51" s="194">
        <v>6203</v>
      </c>
      <c r="J51" s="23">
        <f>F51*G51</f>
        <v>1115</v>
      </c>
      <c r="K51" t="s">
        <v>549</v>
      </c>
    </row>
    <row r="52" spans="1:12" x14ac:dyDescent="0.25">
      <c r="A52">
        <v>22</v>
      </c>
      <c r="B52" s="208" t="s">
        <v>546</v>
      </c>
      <c r="C52" s="23">
        <v>1</v>
      </c>
      <c r="D52" s="207"/>
      <c r="E52" s="196">
        <v>46053</v>
      </c>
      <c r="F52" s="197" t="s">
        <v>7</v>
      </c>
      <c r="G52" s="198" t="s">
        <v>296</v>
      </c>
      <c r="H52" s="194"/>
      <c r="I52" s="194"/>
      <c r="J52" s="23"/>
    </row>
    <row r="53" spans="1:12" ht="15.6" x14ac:dyDescent="0.3">
      <c r="B53" s="209"/>
      <c r="C53" s="199">
        <v>2</v>
      </c>
      <c r="D53" s="199">
        <v>0</v>
      </c>
      <c r="E53" s="207" t="s">
        <v>544</v>
      </c>
      <c r="F53" s="201">
        <v>1</v>
      </c>
      <c r="G53" s="202">
        <v>975</v>
      </c>
      <c r="H53" s="194" t="s">
        <v>22</v>
      </c>
      <c r="I53" s="194">
        <v>6203</v>
      </c>
      <c r="J53" s="84">
        <f>F53*G53</f>
        <v>975</v>
      </c>
      <c r="K53" t="s">
        <v>550</v>
      </c>
    </row>
    <row r="54" spans="1:12" x14ac:dyDescent="0.25">
      <c r="A54">
        <v>23</v>
      </c>
      <c r="B54" s="208" t="s">
        <v>547</v>
      </c>
      <c r="C54" s="23">
        <v>1</v>
      </c>
      <c r="D54" s="207"/>
      <c r="E54" s="196">
        <v>46053</v>
      </c>
      <c r="F54" s="197" t="s">
        <v>7</v>
      </c>
      <c r="G54" s="198" t="s">
        <v>296</v>
      </c>
      <c r="H54" s="194"/>
      <c r="I54" s="194"/>
      <c r="J54" s="23"/>
    </row>
    <row r="55" spans="1:12" ht="15.6" x14ac:dyDescent="0.3">
      <c r="B55" s="209"/>
      <c r="C55" s="199">
        <v>2</v>
      </c>
      <c r="D55" s="199">
        <v>0</v>
      </c>
      <c r="E55" s="207" t="s">
        <v>544</v>
      </c>
      <c r="F55" s="203">
        <v>1</v>
      </c>
      <c r="G55" s="202">
        <v>220</v>
      </c>
      <c r="H55" s="194" t="s">
        <v>22</v>
      </c>
      <c r="I55" s="194">
        <v>6203</v>
      </c>
      <c r="J55" s="23">
        <f>F55*G55</f>
        <v>220</v>
      </c>
      <c r="K55" t="s">
        <v>551</v>
      </c>
    </row>
    <row r="56" spans="1:12" x14ac:dyDescent="0.25">
      <c r="A56">
        <v>24</v>
      </c>
      <c r="B56" s="19" t="s">
        <v>27</v>
      </c>
      <c r="C56" s="22">
        <v>1</v>
      </c>
      <c r="D56" s="25"/>
      <c r="E56" s="6">
        <v>46053</v>
      </c>
      <c r="F56" s="26" t="s">
        <v>7</v>
      </c>
      <c r="G56" s="8" t="s">
        <v>296</v>
      </c>
      <c r="J56" s="27"/>
    </row>
    <row r="57" spans="1:12" ht="15.6" x14ac:dyDescent="0.3">
      <c r="C57" s="11">
        <v>2</v>
      </c>
      <c r="D57" s="11">
        <v>0</v>
      </c>
      <c r="E57" s="28" t="s">
        <v>10</v>
      </c>
      <c r="F57" s="82">
        <v>40.5</v>
      </c>
      <c r="G57" s="12">
        <v>35</v>
      </c>
      <c r="H57" t="s">
        <v>22</v>
      </c>
      <c r="I57">
        <v>6203</v>
      </c>
      <c r="J57" s="84">
        <f>F57*G57</f>
        <v>1417.5</v>
      </c>
    </row>
    <row r="58" spans="1:12" x14ac:dyDescent="0.25">
      <c r="A58">
        <v>25</v>
      </c>
      <c r="B58" s="19" t="s">
        <v>29</v>
      </c>
      <c r="C58" s="22">
        <v>1</v>
      </c>
      <c r="D58" s="25"/>
      <c r="E58" s="6">
        <v>46053</v>
      </c>
      <c r="F58" s="26" t="s">
        <v>7</v>
      </c>
      <c r="G58" s="8" t="s">
        <v>296</v>
      </c>
      <c r="J58" s="23"/>
    </row>
    <row r="59" spans="1:12" ht="15.6" x14ac:dyDescent="0.3">
      <c r="B59" s="24"/>
      <c r="C59" s="11">
        <v>2</v>
      </c>
      <c r="D59" s="11">
        <v>0</v>
      </c>
      <c r="E59" s="14" t="s">
        <v>10</v>
      </c>
      <c r="F59" s="64">
        <v>8.33</v>
      </c>
      <c r="G59" s="12">
        <v>35</v>
      </c>
      <c r="H59" t="s">
        <v>22</v>
      </c>
      <c r="I59">
        <v>6203</v>
      </c>
      <c r="J59" s="23">
        <f>F59*G59</f>
        <v>291.55</v>
      </c>
      <c r="L59">
        <f>SUM(J40:J79)</f>
        <v>84732.9</v>
      </c>
    </row>
    <row r="60" spans="1:12" x14ac:dyDescent="0.25">
      <c r="A60">
        <v>26</v>
      </c>
      <c r="B60" s="19" t="s">
        <v>331</v>
      </c>
      <c r="C60" s="22">
        <v>1</v>
      </c>
      <c r="D60" s="14"/>
      <c r="E60" s="6">
        <v>46053</v>
      </c>
      <c r="F60" s="7" t="s">
        <v>7</v>
      </c>
      <c r="G60" s="8" t="s">
        <v>296</v>
      </c>
      <c r="J60" s="23"/>
    </row>
    <row r="61" spans="1:12" ht="15.6" x14ac:dyDescent="0.3">
      <c r="B61" s="24"/>
      <c r="C61" s="11">
        <v>2</v>
      </c>
      <c r="D61" s="11">
        <v>0</v>
      </c>
      <c r="E61" s="14" t="s">
        <v>10</v>
      </c>
      <c r="F61" s="82">
        <v>122.75</v>
      </c>
      <c r="G61" s="12">
        <v>35</v>
      </c>
      <c r="H61" t="s">
        <v>22</v>
      </c>
      <c r="I61">
        <v>6203</v>
      </c>
      <c r="J61" s="84">
        <f>F61*G61</f>
        <v>4296.25</v>
      </c>
    </row>
    <row r="62" spans="1:12" x14ac:dyDescent="0.25">
      <c r="A62">
        <v>27</v>
      </c>
      <c r="B62" s="19" t="s">
        <v>28</v>
      </c>
      <c r="C62" s="22">
        <v>1</v>
      </c>
      <c r="D62" s="25"/>
      <c r="E62" s="6">
        <v>46053</v>
      </c>
      <c r="F62" s="26" t="s">
        <v>7</v>
      </c>
      <c r="G62" s="8" t="s">
        <v>296</v>
      </c>
      <c r="J62" s="23"/>
    </row>
    <row r="63" spans="1:12" ht="15.6" x14ac:dyDescent="0.3">
      <c r="B63" s="24"/>
      <c r="C63" s="11">
        <v>2</v>
      </c>
      <c r="D63" s="11">
        <v>0</v>
      </c>
      <c r="E63" s="14" t="s">
        <v>10</v>
      </c>
      <c r="F63" s="82">
        <v>435.33</v>
      </c>
      <c r="G63" s="12">
        <v>35</v>
      </c>
      <c r="H63" t="s">
        <v>22</v>
      </c>
      <c r="I63">
        <v>6203</v>
      </c>
      <c r="J63" s="84">
        <f>F63*G63</f>
        <v>15236.55</v>
      </c>
    </row>
    <row r="64" spans="1:12" x14ac:dyDescent="0.25">
      <c r="A64">
        <v>28</v>
      </c>
      <c r="B64" s="19" t="s">
        <v>279</v>
      </c>
      <c r="C64" s="22">
        <v>1</v>
      </c>
      <c r="D64" s="14"/>
      <c r="E64" s="6">
        <v>46053</v>
      </c>
      <c r="F64" s="7" t="s">
        <v>7</v>
      </c>
      <c r="G64" s="8" t="s">
        <v>296</v>
      </c>
      <c r="J64" s="23"/>
    </row>
    <row r="65" spans="1:10" ht="15.6" x14ac:dyDescent="0.3">
      <c r="B65" s="24"/>
      <c r="C65" s="11">
        <v>2</v>
      </c>
      <c r="D65" s="11">
        <v>0</v>
      </c>
      <c r="E65" s="14" t="s">
        <v>437</v>
      </c>
      <c r="F65" s="82">
        <v>386</v>
      </c>
      <c r="G65" s="12">
        <v>50</v>
      </c>
      <c r="H65" t="s">
        <v>22</v>
      </c>
      <c r="I65">
        <v>6203</v>
      </c>
      <c r="J65" s="84">
        <f>F65*G65</f>
        <v>19300</v>
      </c>
    </row>
    <row r="66" spans="1:10" x14ac:dyDescent="0.25">
      <c r="A66">
        <v>29</v>
      </c>
      <c r="B66" s="19" t="s">
        <v>292</v>
      </c>
      <c r="C66" s="22">
        <v>1</v>
      </c>
      <c r="D66" s="14"/>
      <c r="E66" s="6">
        <v>46053</v>
      </c>
      <c r="F66" s="7" t="s">
        <v>7</v>
      </c>
      <c r="G66" s="8" t="s">
        <v>296</v>
      </c>
      <c r="J66" s="23"/>
    </row>
    <row r="67" spans="1:10" ht="15.6" x14ac:dyDescent="0.3">
      <c r="B67" s="24"/>
      <c r="C67" s="11">
        <v>2</v>
      </c>
      <c r="D67" s="11">
        <v>0</v>
      </c>
      <c r="E67" s="14" t="s">
        <v>438</v>
      </c>
      <c r="F67" s="85">
        <v>31</v>
      </c>
      <c r="G67" s="12">
        <v>230</v>
      </c>
      <c r="H67" t="s">
        <v>22</v>
      </c>
      <c r="I67">
        <v>6203</v>
      </c>
      <c r="J67" s="23">
        <f>F67*G67</f>
        <v>7130</v>
      </c>
    </row>
    <row r="68" spans="1:10" x14ac:dyDescent="0.25">
      <c r="A68">
        <v>30</v>
      </c>
      <c r="B68" s="19" t="s">
        <v>371</v>
      </c>
      <c r="C68" s="22">
        <v>1</v>
      </c>
      <c r="D68" s="25"/>
      <c r="E68" s="6">
        <v>46053</v>
      </c>
      <c r="F68" s="26" t="s">
        <v>7</v>
      </c>
      <c r="G68" s="8" t="s">
        <v>296</v>
      </c>
      <c r="J68" s="23"/>
    </row>
    <row r="69" spans="1:10" ht="15.6" x14ac:dyDescent="0.3">
      <c r="B69" s="24"/>
      <c r="C69" s="11">
        <v>2</v>
      </c>
      <c r="D69" s="11">
        <v>0</v>
      </c>
      <c r="E69" s="14" t="s">
        <v>10</v>
      </c>
      <c r="F69" s="82">
        <v>203.75</v>
      </c>
      <c r="G69" s="12">
        <v>35</v>
      </c>
      <c r="H69" t="s">
        <v>22</v>
      </c>
      <c r="I69">
        <v>6203</v>
      </c>
      <c r="J69" s="84">
        <f>F69*G69</f>
        <v>7131.25</v>
      </c>
    </row>
    <row r="70" spans="1:10" x14ac:dyDescent="0.25">
      <c r="A70">
        <v>31</v>
      </c>
      <c r="B70" s="19" t="s">
        <v>338</v>
      </c>
      <c r="C70" s="22">
        <v>1</v>
      </c>
      <c r="D70" s="14"/>
      <c r="E70" s="6">
        <v>46053</v>
      </c>
      <c r="F70" s="7" t="s">
        <v>7</v>
      </c>
      <c r="G70" s="8" t="s">
        <v>296</v>
      </c>
      <c r="J70" s="23"/>
    </row>
    <row r="71" spans="1:10" ht="15.6" x14ac:dyDescent="0.3">
      <c r="B71" s="24"/>
      <c r="C71" s="11">
        <v>2</v>
      </c>
      <c r="D71" s="11">
        <v>0</v>
      </c>
      <c r="E71" s="14" t="s">
        <v>26</v>
      </c>
      <c r="F71" s="82">
        <v>321.75</v>
      </c>
      <c r="G71" s="12">
        <v>35</v>
      </c>
      <c r="H71" t="s">
        <v>22</v>
      </c>
      <c r="I71">
        <v>6203</v>
      </c>
      <c r="J71" s="84">
        <f>F71*G71</f>
        <v>11261.25</v>
      </c>
    </row>
    <row r="72" spans="1:10" x14ac:dyDescent="0.25">
      <c r="A72">
        <v>32</v>
      </c>
      <c r="B72" s="19" t="s">
        <v>366</v>
      </c>
      <c r="C72" s="22">
        <v>1</v>
      </c>
      <c r="D72" s="25"/>
      <c r="E72" s="6">
        <v>46053</v>
      </c>
      <c r="F72" s="26" t="s">
        <v>7</v>
      </c>
      <c r="G72" s="8" t="s">
        <v>296</v>
      </c>
      <c r="J72" s="27"/>
    </row>
    <row r="73" spans="1:10" ht="15.6" x14ac:dyDescent="0.3">
      <c r="C73" s="11">
        <v>2</v>
      </c>
      <c r="D73" s="11">
        <v>0</v>
      </c>
      <c r="E73" s="28" t="s">
        <v>10</v>
      </c>
      <c r="F73" s="82">
        <v>17</v>
      </c>
      <c r="G73" s="12">
        <v>35</v>
      </c>
      <c r="H73" t="s">
        <v>22</v>
      </c>
      <c r="I73">
        <v>6203</v>
      </c>
      <c r="J73" s="84">
        <f>F73*G73</f>
        <v>595</v>
      </c>
    </row>
    <row r="74" spans="1:10" x14ac:dyDescent="0.25">
      <c r="A74">
        <v>33</v>
      </c>
      <c r="B74" s="19" t="s">
        <v>458</v>
      </c>
      <c r="C74" s="22">
        <v>1</v>
      </c>
      <c r="D74" s="14"/>
      <c r="E74" s="6">
        <v>46053</v>
      </c>
      <c r="F74" s="7" t="s">
        <v>7</v>
      </c>
      <c r="G74" s="8" t="s">
        <v>296</v>
      </c>
      <c r="J74" s="23"/>
    </row>
    <row r="75" spans="1:10" ht="15.6" x14ac:dyDescent="0.3">
      <c r="B75" s="24"/>
      <c r="C75" s="11">
        <v>2</v>
      </c>
      <c r="D75" s="11">
        <v>0</v>
      </c>
      <c r="E75" s="14" t="s">
        <v>26</v>
      </c>
      <c r="F75" s="82">
        <v>59.4</v>
      </c>
      <c r="G75" s="12">
        <v>35</v>
      </c>
      <c r="H75" t="s">
        <v>22</v>
      </c>
      <c r="I75">
        <v>6203</v>
      </c>
      <c r="J75" s="84">
        <f>F75*G75</f>
        <v>2079</v>
      </c>
    </row>
    <row r="76" spans="1:10" x14ac:dyDescent="0.25">
      <c r="A76">
        <v>34</v>
      </c>
      <c r="B76" s="19" t="s">
        <v>482</v>
      </c>
      <c r="C76" s="22">
        <v>1</v>
      </c>
      <c r="D76" s="25"/>
      <c r="E76" s="6">
        <v>46053</v>
      </c>
      <c r="F76" s="26" t="s">
        <v>7</v>
      </c>
      <c r="G76" s="8" t="s">
        <v>296</v>
      </c>
      <c r="J76" s="27"/>
    </row>
    <row r="77" spans="1:10" ht="15.6" x14ac:dyDescent="0.3">
      <c r="C77" s="11">
        <v>2</v>
      </c>
      <c r="D77" s="11">
        <v>0</v>
      </c>
      <c r="E77" s="28" t="s">
        <v>10</v>
      </c>
      <c r="F77" s="82">
        <v>72.8</v>
      </c>
      <c r="G77" s="12">
        <v>35</v>
      </c>
      <c r="H77" t="s">
        <v>22</v>
      </c>
      <c r="I77">
        <v>6203</v>
      </c>
      <c r="J77" s="84">
        <f>F77*G77</f>
        <v>2548</v>
      </c>
    </row>
    <row r="78" spans="1:10" x14ac:dyDescent="0.25">
      <c r="A78">
        <v>35</v>
      </c>
      <c r="B78" s="19" t="s">
        <v>483</v>
      </c>
      <c r="C78" s="22">
        <v>1</v>
      </c>
      <c r="D78" s="25"/>
      <c r="E78" s="6">
        <v>46053</v>
      </c>
      <c r="F78" s="26" t="s">
        <v>7</v>
      </c>
      <c r="G78" s="8" t="s">
        <v>296</v>
      </c>
      <c r="J78" s="27"/>
    </row>
    <row r="79" spans="1:10" ht="15.6" x14ac:dyDescent="0.3">
      <c r="C79" s="11">
        <v>2</v>
      </c>
      <c r="D79" s="11">
        <v>0</v>
      </c>
      <c r="E79" s="28" t="s">
        <v>10</v>
      </c>
      <c r="F79" s="82">
        <v>22</v>
      </c>
      <c r="G79" s="12">
        <v>35</v>
      </c>
      <c r="H79" t="s">
        <v>22</v>
      </c>
      <c r="I79">
        <v>6203</v>
      </c>
      <c r="J79" s="84">
        <f>F79*G79</f>
        <v>770</v>
      </c>
    </row>
    <row r="80" spans="1:10" x14ac:dyDescent="0.25">
      <c r="A80">
        <v>37</v>
      </c>
      <c r="B80" s="30" t="s">
        <v>98</v>
      </c>
      <c r="C80">
        <v>1</v>
      </c>
      <c r="E80" s="6">
        <v>46053</v>
      </c>
      <c r="F80" s="31" t="s">
        <v>7</v>
      </c>
      <c r="G80" s="8" t="s">
        <v>297</v>
      </c>
      <c r="J80" s="29"/>
    </row>
    <row r="81" spans="1:10" ht="15.6" x14ac:dyDescent="0.3">
      <c r="C81" s="11">
        <v>2</v>
      </c>
      <c r="D81" s="11">
        <v>0</v>
      </c>
      <c r="E81" s="14" t="s">
        <v>30</v>
      </c>
      <c r="F81" s="64">
        <v>618.5</v>
      </c>
      <c r="G81">
        <v>36</v>
      </c>
      <c r="H81" t="s">
        <v>31</v>
      </c>
      <c r="I81">
        <v>6203</v>
      </c>
      <c r="J81" s="29">
        <f>F81*G81</f>
        <v>22266</v>
      </c>
    </row>
    <row r="82" spans="1:10" x14ac:dyDescent="0.25">
      <c r="A82">
        <v>38</v>
      </c>
      <c r="B82" s="30" t="s">
        <v>354</v>
      </c>
      <c r="C82">
        <v>1</v>
      </c>
      <c r="E82" s="6">
        <v>46053</v>
      </c>
      <c r="F82" s="31" t="s">
        <v>7</v>
      </c>
      <c r="G82" s="8" t="s">
        <v>297</v>
      </c>
      <c r="J82" s="29"/>
    </row>
    <row r="83" spans="1:10" ht="15.6" x14ac:dyDescent="0.3">
      <c r="C83" s="11">
        <v>2</v>
      </c>
      <c r="D83" s="11">
        <v>0</v>
      </c>
      <c r="E83" s="14" t="s">
        <v>30</v>
      </c>
      <c r="F83" s="82">
        <v>524.41999999999996</v>
      </c>
      <c r="G83">
        <v>36</v>
      </c>
      <c r="H83" t="s">
        <v>31</v>
      </c>
      <c r="I83">
        <v>6203</v>
      </c>
      <c r="J83" s="88">
        <f>F83*G83</f>
        <v>18879.12</v>
      </c>
    </row>
    <row r="84" spans="1:10" x14ac:dyDescent="0.25">
      <c r="A84">
        <v>39</v>
      </c>
      <c r="B84" s="1" t="s">
        <v>318</v>
      </c>
      <c r="C84">
        <v>1</v>
      </c>
      <c r="E84" s="6">
        <v>46053</v>
      </c>
      <c r="F84" s="21" t="s">
        <v>7</v>
      </c>
      <c r="G84" s="8" t="s">
        <v>297</v>
      </c>
      <c r="J84" s="29"/>
    </row>
    <row r="85" spans="1:10" ht="15.6" x14ac:dyDescent="0.3">
      <c r="C85" s="11">
        <v>2</v>
      </c>
      <c r="D85" s="11">
        <v>0</v>
      </c>
      <c r="E85" s="14" t="s">
        <v>30</v>
      </c>
      <c r="F85" s="85">
        <v>63.83</v>
      </c>
      <c r="G85">
        <v>36</v>
      </c>
      <c r="H85" t="s">
        <v>31</v>
      </c>
      <c r="I85">
        <v>6203</v>
      </c>
      <c r="J85" s="29">
        <f>F85*G85</f>
        <v>2297.88</v>
      </c>
    </row>
    <row r="86" spans="1:10" x14ac:dyDescent="0.25">
      <c r="A86">
        <v>40</v>
      </c>
      <c r="B86" s="30" t="s">
        <v>34</v>
      </c>
      <c r="C86">
        <v>1</v>
      </c>
      <c r="E86" s="6">
        <v>46053</v>
      </c>
      <c r="F86" s="21" t="s">
        <v>7</v>
      </c>
      <c r="G86" s="8" t="s">
        <v>297</v>
      </c>
      <c r="J86" s="29"/>
    </row>
    <row r="87" spans="1:10" ht="15.6" x14ac:dyDescent="0.3">
      <c r="C87" s="11">
        <v>2</v>
      </c>
      <c r="D87" s="11">
        <v>0</v>
      </c>
      <c r="E87" s="14" t="s">
        <v>30</v>
      </c>
      <c r="F87" s="85">
        <v>272.17</v>
      </c>
      <c r="G87">
        <v>36</v>
      </c>
      <c r="H87" t="s">
        <v>31</v>
      </c>
      <c r="I87">
        <v>6203</v>
      </c>
      <c r="J87" s="88">
        <f>F87*G87</f>
        <v>9798.1200000000008</v>
      </c>
    </row>
    <row r="88" spans="1:10" x14ac:dyDescent="0.25">
      <c r="A88">
        <v>41</v>
      </c>
      <c r="B88" s="1" t="s">
        <v>230</v>
      </c>
      <c r="C88">
        <v>1</v>
      </c>
      <c r="E88" s="6">
        <v>46053</v>
      </c>
      <c r="F88" s="21" t="s">
        <v>7</v>
      </c>
      <c r="G88" s="8" t="s">
        <v>297</v>
      </c>
      <c r="J88" s="29"/>
    </row>
    <row r="89" spans="1:10" ht="15.6" x14ac:dyDescent="0.3">
      <c r="C89" s="11">
        <v>2</v>
      </c>
      <c r="D89" s="11">
        <v>0</v>
      </c>
      <c r="E89" s="14" t="s">
        <v>30</v>
      </c>
      <c r="F89" s="64">
        <v>32.92</v>
      </c>
      <c r="G89">
        <v>36</v>
      </c>
      <c r="H89" t="s">
        <v>31</v>
      </c>
      <c r="I89">
        <v>6203</v>
      </c>
      <c r="J89" s="29">
        <f>F89*G89</f>
        <v>1185.1200000000001</v>
      </c>
    </row>
    <row r="90" spans="1:10" x14ac:dyDescent="0.25">
      <c r="A90">
        <v>42</v>
      </c>
      <c r="B90" s="30" t="s">
        <v>351</v>
      </c>
      <c r="C90">
        <v>1</v>
      </c>
      <c r="E90" s="6">
        <v>46053</v>
      </c>
      <c r="F90" s="31" t="s">
        <v>7</v>
      </c>
      <c r="G90" s="8" t="s">
        <v>297</v>
      </c>
      <c r="J90" s="29"/>
    </row>
    <row r="91" spans="1:10" ht="15.6" x14ac:dyDescent="0.3">
      <c r="C91" s="11">
        <v>2</v>
      </c>
      <c r="D91" s="11">
        <v>0</v>
      </c>
      <c r="E91" s="14" t="s">
        <v>441</v>
      </c>
      <c r="F91" s="64">
        <v>175</v>
      </c>
      <c r="G91">
        <v>50</v>
      </c>
      <c r="H91" t="s">
        <v>31</v>
      </c>
      <c r="I91">
        <v>6203</v>
      </c>
      <c r="J91" s="29">
        <f>F91*G91</f>
        <v>8750</v>
      </c>
    </row>
    <row r="92" spans="1:10" x14ac:dyDescent="0.25">
      <c r="A92">
        <v>43</v>
      </c>
      <c r="B92" s="1" t="s">
        <v>380</v>
      </c>
      <c r="C92">
        <v>1</v>
      </c>
      <c r="E92" s="6">
        <v>46053</v>
      </c>
      <c r="F92" s="21" t="s">
        <v>7</v>
      </c>
      <c r="G92" s="8" t="s">
        <v>297</v>
      </c>
      <c r="J92" s="29"/>
    </row>
    <row r="93" spans="1:10" ht="15.6" x14ac:dyDescent="0.3">
      <c r="C93" s="11">
        <v>2</v>
      </c>
      <c r="D93" s="11">
        <v>0</v>
      </c>
      <c r="E93" s="14" t="s">
        <v>30</v>
      </c>
      <c r="F93" s="64">
        <v>316.42</v>
      </c>
      <c r="G93">
        <v>36</v>
      </c>
      <c r="H93" t="s">
        <v>31</v>
      </c>
      <c r="I93">
        <v>6203</v>
      </c>
      <c r="J93" s="29">
        <f>F93*G93</f>
        <v>11391.12</v>
      </c>
    </row>
    <row r="94" spans="1:10" x14ac:dyDescent="0.25">
      <c r="A94">
        <v>44</v>
      </c>
      <c r="B94" s="30" t="s">
        <v>412</v>
      </c>
      <c r="C94">
        <v>1</v>
      </c>
      <c r="E94" s="6">
        <v>46053</v>
      </c>
      <c r="F94" s="31" t="s">
        <v>7</v>
      </c>
      <c r="G94" s="8" t="s">
        <v>297</v>
      </c>
      <c r="J94" s="29"/>
    </row>
    <row r="95" spans="1:10" ht="15.6" x14ac:dyDescent="0.3">
      <c r="C95" s="11">
        <v>2</v>
      </c>
      <c r="D95" s="11">
        <v>0</v>
      </c>
      <c r="E95" s="14" t="s">
        <v>30</v>
      </c>
      <c r="F95" s="64">
        <v>195.42</v>
      </c>
      <c r="G95">
        <v>36</v>
      </c>
      <c r="H95" t="s">
        <v>31</v>
      </c>
      <c r="I95">
        <v>6203</v>
      </c>
      <c r="J95" s="29">
        <f>F95*G95</f>
        <v>7035.12</v>
      </c>
    </row>
    <row r="96" spans="1:10" x14ac:dyDescent="0.25">
      <c r="A96">
        <v>45</v>
      </c>
      <c r="B96" s="30" t="s">
        <v>491</v>
      </c>
      <c r="C96">
        <v>1</v>
      </c>
      <c r="E96" s="6">
        <v>46053</v>
      </c>
      <c r="F96" s="31" t="s">
        <v>7</v>
      </c>
      <c r="G96" s="8" t="s">
        <v>297</v>
      </c>
      <c r="J96" s="29"/>
    </row>
    <row r="97" spans="1:10" ht="15.6" x14ac:dyDescent="0.3">
      <c r="C97" s="11">
        <v>2</v>
      </c>
      <c r="D97" s="11">
        <v>0</v>
      </c>
      <c r="E97" s="14" t="s">
        <v>513</v>
      </c>
      <c r="F97" s="64">
        <v>66.83</v>
      </c>
      <c r="G97">
        <v>36</v>
      </c>
      <c r="H97" t="s">
        <v>31</v>
      </c>
      <c r="I97">
        <v>6203</v>
      </c>
      <c r="J97" s="29">
        <f>F97*G97</f>
        <v>2405.88</v>
      </c>
    </row>
    <row r="98" spans="1:10" x14ac:dyDescent="0.25">
      <c r="A98">
        <v>46</v>
      </c>
      <c r="B98" s="1" t="s">
        <v>468</v>
      </c>
      <c r="C98">
        <v>1</v>
      </c>
      <c r="E98" s="6">
        <v>46053</v>
      </c>
      <c r="F98" s="21" t="s">
        <v>7</v>
      </c>
      <c r="G98" s="8" t="s">
        <v>297</v>
      </c>
      <c r="J98" s="29"/>
    </row>
    <row r="99" spans="1:10" ht="15.6" x14ac:dyDescent="0.3">
      <c r="C99" s="11">
        <v>2</v>
      </c>
      <c r="D99" s="11">
        <v>0</v>
      </c>
      <c r="E99" s="14" t="s">
        <v>30</v>
      </c>
      <c r="F99" s="64">
        <v>66.75</v>
      </c>
      <c r="G99">
        <v>36</v>
      </c>
      <c r="H99" t="s">
        <v>31</v>
      </c>
      <c r="I99">
        <v>6203</v>
      </c>
      <c r="J99" s="29">
        <f>F99*G99</f>
        <v>2403</v>
      </c>
    </row>
    <row r="100" spans="1:10" x14ac:dyDescent="0.25">
      <c r="A100">
        <v>47</v>
      </c>
      <c r="B100" s="30" t="s">
        <v>416</v>
      </c>
      <c r="C100">
        <v>1</v>
      </c>
      <c r="E100" s="6">
        <v>46053</v>
      </c>
      <c r="F100" s="31" t="s">
        <v>7</v>
      </c>
      <c r="G100" s="8" t="s">
        <v>297</v>
      </c>
      <c r="J100" s="29"/>
    </row>
    <row r="101" spans="1:10" ht="15.6" x14ac:dyDescent="0.3">
      <c r="C101" s="11">
        <v>2</v>
      </c>
      <c r="D101" s="11">
        <v>0</v>
      </c>
      <c r="E101" s="14" t="s">
        <v>513</v>
      </c>
      <c r="F101" s="64">
        <v>9.1</v>
      </c>
      <c r="G101">
        <v>36</v>
      </c>
      <c r="H101" t="s">
        <v>31</v>
      </c>
      <c r="I101">
        <v>6203</v>
      </c>
      <c r="J101" s="29">
        <f>F101*G101</f>
        <v>327.59999999999997</v>
      </c>
    </row>
    <row r="102" spans="1:10" x14ac:dyDescent="0.25">
      <c r="A102">
        <v>48</v>
      </c>
      <c r="B102" s="30" t="s">
        <v>514</v>
      </c>
      <c r="C102">
        <v>1</v>
      </c>
      <c r="E102" s="6">
        <v>46053</v>
      </c>
      <c r="F102" s="31" t="s">
        <v>7</v>
      </c>
      <c r="G102" s="8" t="s">
        <v>297</v>
      </c>
      <c r="J102" s="29"/>
    </row>
    <row r="103" spans="1:10" ht="15.6" x14ac:dyDescent="0.3">
      <c r="C103" s="11">
        <v>2</v>
      </c>
      <c r="D103" s="11">
        <v>0</v>
      </c>
      <c r="E103" s="14" t="s">
        <v>513</v>
      </c>
      <c r="F103" s="64">
        <v>115.58</v>
      </c>
      <c r="G103">
        <v>36</v>
      </c>
      <c r="H103" t="s">
        <v>31</v>
      </c>
      <c r="I103">
        <v>6203</v>
      </c>
      <c r="J103" s="29">
        <f>F103*G103</f>
        <v>4160.88</v>
      </c>
    </row>
    <row r="104" spans="1:10" ht="15.6" x14ac:dyDescent="0.3">
      <c r="A104">
        <v>49</v>
      </c>
      <c r="B104" s="193" t="s">
        <v>35</v>
      </c>
      <c r="C104" s="194">
        <v>1</v>
      </c>
      <c r="D104" s="195"/>
      <c r="E104" s="196">
        <v>46053</v>
      </c>
      <c r="F104" s="197" t="s">
        <v>7</v>
      </c>
      <c r="G104" s="198" t="s">
        <v>298</v>
      </c>
      <c r="H104" s="194"/>
      <c r="I104" s="194"/>
      <c r="J104" s="199"/>
    </row>
    <row r="105" spans="1:10" ht="15.6" x14ac:dyDescent="0.3">
      <c r="B105" s="200"/>
      <c r="C105" s="199">
        <v>2</v>
      </c>
      <c r="D105" s="199">
        <v>0</v>
      </c>
      <c r="E105" s="196" t="s">
        <v>10</v>
      </c>
      <c r="F105" s="203">
        <v>1108.1300000000001</v>
      </c>
      <c r="G105" s="202">
        <v>39</v>
      </c>
      <c r="H105" s="194" t="s">
        <v>36</v>
      </c>
      <c r="I105" s="194">
        <v>6203</v>
      </c>
      <c r="J105" s="199">
        <f>F105*G105</f>
        <v>43217.070000000007</v>
      </c>
    </row>
    <row r="106" spans="1:10" ht="15.6" x14ac:dyDescent="0.3">
      <c r="A106">
        <v>50</v>
      </c>
      <c r="B106" s="193" t="s">
        <v>129</v>
      </c>
      <c r="C106" s="194">
        <v>1</v>
      </c>
      <c r="D106" s="195"/>
      <c r="E106" s="196">
        <v>46053</v>
      </c>
      <c r="F106" s="197" t="s">
        <v>7</v>
      </c>
      <c r="G106" s="198" t="s">
        <v>298</v>
      </c>
      <c r="H106" s="194"/>
      <c r="I106" s="194"/>
      <c r="J106" s="199"/>
    </row>
    <row r="107" spans="1:10" ht="15.6" x14ac:dyDescent="0.3">
      <c r="B107" s="200"/>
      <c r="C107" s="199">
        <v>2</v>
      </c>
      <c r="D107" s="199">
        <v>0</v>
      </c>
      <c r="E107" s="196" t="s">
        <v>12</v>
      </c>
      <c r="F107" s="201">
        <v>435.5</v>
      </c>
      <c r="G107" s="202">
        <v>39</v>
      </c>
      <c r="H107" s="194" t="s">
        <v>36</v>
      </c>
      <c r="I107" s="194">
        <v>6203</v>
      </c>
      <c r="J107" s="199">
        <f>F107*G107</f>
        <v>16984.5</v>
      </c>
    </row>
    <row r="108" spans="1:10" ht="15.6" x14ac:dyDescent="0.3">
      <c r="A108">
        <v>51</v>
      </c>
      <c r="B108" s="32" t="s">
        <v>37</v>
      </c>
      <c r="C108">
        <v>1</v>
      </c>
      <c r="D108" s="13"/>
      <c r="E108" s="6">
        <v>46053</v>
      </c>
      <c r="F108" s="7" t="s">
        <v>7</v>
      </c>
      <c r="G108" s="8" t="s">
        <v>298</v>
      </c>
      <c r="J108" s="11"/>
    </row>
    <row r="109" spans="1:10" ht="15.6" x14ac:dyDescent="0.3">
      <c r="B109" s="33"/>
      <c r="C109" s="11">
        <v>2</v>
      </c>
      <c r="D109" s="11">
        <v>0</v>
      </c>
      <c r="E109" s="6" t="s">
        <v>12</v>
      </c>
      <c r="F109" s="82">
        <v>68.17</v>
      </c>
      <c r="G109" s="12">
        <v>39</v>
      </c>
      <c r="H109" t="s">
        <v>36</v>
      </c>
      <c r="I109">
        <v>6203</v>
      </c>
      <c r="J109" s="11">
        <f>F109*G109</f>
        <v>2658.63</v>
      </c>
    </row>
    <row r="110" spans="1:10" ht="15.6" x14ac:dyDescent="0.3">
      <c r="A110">
        <v>52</v>
      </c>
      <c r="B110" s="32" t="s">
        <v>38</v>
      </c>
      <c r="C110">
        <v>1</v>
      </c>
      <c r="D110" s="13"/>
      <c r="E110" s="6">
        <v>46053</v>
      </c>
      <c r="F110" s="7" t="s">
        <v>7</v>
      </c>
      <c r="G110" s="8" t="s">
        <v>298</v>
      </c>
      <c r="J110" s="11"/>
    </row>
    <row r="111" spans="1:10" ht="15.6" x14ac:dyDescent="0.3">
      <c r="B111" s="33"/>
      <c r="C111" s="11">
        <v>2</v>
      </c>
      <c r="D111" s="11">
        <v>0</v>
      </c>
      <c r="E111" s="6" t="s">
        <v>12</v>
      </c>
      <c r="F111" s="64">
        <v>368.45</v>
      </c>
      <c r="G111" s="12">
        <v>39</v>
      </c>
      <c r="H111" t="s">
        <v>36</v>
      </c>
      <c r="I111">
        <v>6203</v>
      </c>
      <c r="J111" s="11">
        <f>F111*G111</f>
        <v>14369.55</v>
      </c>
    </row>
    <row r="112" spans="1:10" ht="15.6" x14ac:dyDescent="0.3">
      <c r="A112">
        <v>53</v>
      </c>
      <c r="B112" s="32" t="s">
        <v>39</v>
      </c>
      <c r="C112">
        <v>1</v>
      </c>
      <c r="D112" s="13"/>
      <c r="E112" s="6">
        <v>46053</v>
      </c>
      <c r="F112" s="34" t="s">
        <v>7</v>
      </c>
      <c r="G112" s="8" t="s">
        <v>298</v>
      </c>
      <c r="J112" s="11"/>
    </row>
    <row r="113" spans="1:12" ht="15.6" x14ac:dyDescent="0.3">
      <c r="B113" s="33"/>
      <c r="C113" s="11">
        <v>2</v>
      </c>
      <c r="D113" s="11">
        <v>0</v>
      </c>
      <c r="E113" s="6" t="s">
        <v>12</v>
      </c>
      <c r="F113" s="82">
        <v>74.75</v>
      </c>
      <c r="G113" s="36">
        <v>39</v>
      </c>
      <c r="H113" t="s">
        <v>36</v>
      </c>
      <c r="I113">
        <v>6203</v>
      </c>
      <c r="J113" s="11">
        <f>F113*G113</f>
        <v>2915.25</v>
      </c>
    </row>
    <row r="114" spans="1:12" ht="15.6" x14ac:dyDescent="0.3">
      <c r="A114">
        <v>54</v>
      </c>
      <c r="B114" s="193" t="s">
        <v>40</v>
      </c>
      <c r="C114" s="194">
        <v>1</v>
      </c>
      <c r="D114" s="195"/>
      <c r="E114" s="196">
        <v>46053</v>
      </c>
      <c r="F114" s="197" t="s">
        <v>7</v>
      </c>
      <c r="G114" s="198" t="s">
        <v>298</v>
      </c>
      <c r="H114" s="194"/>
      <c r="I114" s="194"/>
      <c r="J114" s="199"/>
    </row>
    <row r="115" spans="1:12" ht="15.6" x14ac:dyDescent="0.3">
      <c r="B115" s="200"/>
      <c r="C115" s="199">
        <v>2</v>
      </c>
      <c r="D115" s="199">
        <v>0</v>
      </c>
      <c r="E115" s="196" t="s">
        <v>10</v>
      </c>
      <c r="F115" s="201">
        <v>388.92</v>
      </c>
      <c r="G115" s="202">
        <v>39</v>
      </c>
      <c r="H115" s="194" t="s">
        <v>36</v>
      </c>
      <c r="I115" s="194">
        <v>6203</v>
      </c>
      <c r="J115" s="199">
        <f>F115*G115</f>
        <v>15167.880000000001</v>
      </c>
    </row>
    <row r="116" spans="1:12" ht="15.6" x14ac:dyDescent="0.3">
      <c r="A116">
        <v>55</v>
      </c>
      <c r="B116" s="32" t="s">
        <v>41</v>
      </c>
      <c r="C116">
        <v>1</v>
      </c>
      <c r="D116" s="13"/>
      <c r="E116" s="6">
        <v>46053</v>
      </c>
      <c r="F116" s="34" t="s">
        <v>7</v>
      </c>
      <c r="G116" s="8" t="s">
        <v>298</v>
      </c>
      <c r="J116" s="11"/>
    </row>
    <row r="117" spans="1:12" ht="15.6" x14ac:dyDescent="0.3">
      <c r="B117" s="33"/>
      <c r="C117" s="11">
        <v>2</v>
      </c>
      <c r="D117" s="11">
        <v>0</v>
      </c>
      <c r="E117" s="6" t="s">
        <v>10</v>
      </c>
      <c r="F117" s="64">
        <v>146.08000000000001</v>
      </c>
      <c r="G117" s="36">
        <v>39</v>
      </c>
      <c r="H117" t="s">
        <v>36</v>
      </c>
      <c r="I117">
        <v>6203</v>
      </c>
      <c r="J117" s="11">
        <f>F117*G117</f>
        <v>5697.1200000000008</v>
      </c>
    </row>
    <row r="118" spans="1:12" ht="15.6" x14ac:dyDescent="0.3">
      <c r="A118">
        <v>56</v>
      </c>
      <c r="B118" s="32" t="s">
        <v>42</v>
      </c>
      <c r="C118">
        <v>1</v>
      </c>
      <c r="D118" s="13"/>
      <c r="E118" s="6">
        <v>46053</v>
      </c>
      <c r="F118" s="34" t="s">
        <v>7</v>
      </c>
      <c r="G118" s="8" t="s">
        <v>298</v>
      </c>
      <c r="J118" s="11"/>
    </row>
    <row r="119" spans="1:12" ht="15.6" x14ac:dyDescent="0.3">
      <c r="B119" s="33"/>
      <c r="C119" s="11">
        <v>2</v>
      </c>
      <c r="D119" s="11">
        <v>0</v>
      </c>
      <c r="E119" s="6" t="s">
        <v>10</v>
      </c>
      <c r="F119" s="145">
        <v>553.83000000000004</v>
      </c>
      <c r="G119" s="36">
        <v>39</v>
      </c>
      <c r="H119" t="s">
        <v>36</v>
      </c>
      <c r="I119">
        <v>6203</v>
      </c>
      <c r="J119" s="11">
        <f>F119*G119</f>
        <v>21599.370000000003</v>
      </c>
    </row>
    <row r="120" spans="1:12" ht="15.6" x14ac:dyDescent="0.3">
      <c r="A120">
        <v>57</v>
      </c>
      <c r="B120" s="32" t="s">
        <v>436</v>
      </c>
      <c r="C120">
        <v>1</v>
      </c>
      <c r="D120" s="13"/>
      <c r="E120" s="6">
        <v>46053</v>
      </c>
      <c r="F120" s="34" t="s">
        <v>7</v>
      </c>
      <c r="G120" s="8" t="s">
        <v>298</v>
      </c>
      <c r="J120" s="11"/>
    </row>
    <row r="121" spans="1:12" ht="15.6" x14ac:dyDescent="0.3">
      <c r="B121" s="33"/>
      <c r="C121" s="11">
        <v>2</v>
      </c>
      <c r="D121" s="11">
        <v>0</v>
      </c>
      <c r="E121" s="6" t="s">
        <v>10</v>
      </c>
      <c r="F121" s="64">
        <v>15.33</v>
      </c>
      <c r="G121" s="36">
        <v>39</v>
      </c>
      <c r="H121" t="s">
        <v>36</v>
      </c>
      <c r="I121">
        <v>6203</v>
      </c>
      <c r="J121" s="11">
        <f>F121*G121</f>
        <v>597.87</v>
      </c>
    </row>
    <row r="122" spans="1:12" ht="15.6" x14ac:dyDescent="0.3">
      <c r="A122">
        <v>58</v>
      </c>
      <c r="B122" s="32" t="s">
        <v>429</v>
      </c>
      <c r="C122">
        <v>1</v>
      </c>
      <c r="D122" s="13"/>
      <c r="E122" s="6">
        <v>46053</v>
      </c>
      <c r="F122" s="34" t="s">
        <v>7</v>
      </c>
      <c r="G122" s="8" t="s">
        <v>298</v>
      </c>
      <c r="J122" s="11"/>
    </row>
    <row r="123" spans="1:12" ht="15.6" x14ac:dyDescent="0.3">
      <c r="B123" s="33"/>
      <c r="C123" s="11">
        <v>2</v>
      </c>
      <c r="D123" s="11">
        <v>0</v>
      </c>
      <c r="E123" s="6" t="s">
        <v>10</v>
      </c>
      <c r="F123" s="145">
        <v>41.25</v>
      </c>
      <c r="G123" s="36">
        <v>39</v>
      </c>
      <c r="H123" t="s">
        <v>36</v>
      </c>
      <c r="I123">
        <v>6203</v>
      </c>
      <c r="J123" s="11">
        <f>F123*G123</f>
        <v>1608.75</v>
      </c>
    </row>
    <row r="124" spans="1:12" ht="15.6" x14ac:dyDescent="0.3">
      <c r="A124">
        <v>59</v>
      </c>
      <c r="B124" s="4" t="s">
        <v>412</v>
      </c>
      <c r="C124">
        <v>1</v>
      </c>
      <c r="D124" s="13"/>
      <c r="E124" s="6">
        <v>46053</v>
      </c>
      <c r="F124" s="7" t="s">
        <v>7</v>
      </c>
      <c r="G124" s="8" t="s">
        <v>299</v>
      </c>
      <c r="J124" s="37"/>
    </row>
    <row r="125" spans="1:12" ht="15.6" x14ac:dyDescent="0.3">
      <c r="C125" s="11">
        <v>2</v>
      </c>
      <c r="D125" s="11">
        <v>0</v>
      </c>
      <c r="E125" s="14" t="s">
        <v>10</v>
      </c>
      <c r="F125" s="82">
        <v>690.45</v>
      </c>
      <c r="G125" s="12">
        <v>36</v>
      </c>
      <c r="H125" t="s">
        <v>43</v>
      </c>
      <c r="I125">
        <v>6203</v>
      </c>
      <c r="J125" s="37">
        <f>F125*G125</f>
        <v>24856.2</v>
      </c>
      <c r="K125" s="18"/>
      <c r="L125" s="18"/>
    </row>
    <row r="126" spans="1:12" ht="15.6" x14ac:dyDescent="0.3">
      <c r="A126">
        <v>60</v>
      </c>
      <c r="B126" s="4" t="s">
        <v>325</v>
      </c>
      <c r="C126">
        <v>1</v>
      </c>
      <c r="D126" s="13"/>
      <c r="E126" s="6">
        <v>46053</v>
      </c>
      <c r="F126" s="7" t="s">
        <v>7</v>
      </c>
      <c r="G126" s="8" t="s">
        <v>299</v>
      </c>
      <c r="J126" s="37"/>
    </row>
    <row r="127" spans="1:12" ht="15.6" x14ac:dyDescent="0.3">
      <c r="C127" s="11">
        <v>2</v>
      </c>
      <c r="D127" s="11">
        <v>0</v>
      </c>
      <c r="E127" s="14" t="s">
        <v>10</v>
      </c>
      <c r="F127" s="82">
        <v>83.08</v>
      </c>
      <c r="G127" s="12">
        <v>30</v>
      </c>
      <c r="H127" t="s">
        <v>43</v>
      </c>
      <c r="I127">
        <v>6203</v>
      </c>
      <c r="J127" s="37">
        <f>F127*G127</f>
        <v>2492.4</v>
      </c>
      <c r="K127" s="18"/>
      <c r="L127" s="18"/>
    </row>
    <row r="128" spans="1:12" ht="15.6" x14ac:dyDescent="0.3">
      <c r="A128">
        <v>61</v>
      </c>
      <c r="B128" s="4" t="s">
        <v>44</v>
      </c>
      <c r="C128">
        <v>1</v>
      </c>
      <c r="D128" s="13"/>
      <c r="E128" s="6">
        <v>46053</v>
      </c>
      <c r="F128" s="7" t="s">
        <v>7</v>
      </c>
      <c r="G128" s="8" t="s">
        <v>299</v>
      </c>
      <c r="J128" s="37"/>
    </row>
    <row r="129" spans="1:12" ht="15.6" x14ac:dyDescent="0.3">
      <c r="C129" s="11">
        <v>2</v>
      </c>
      <c r="D129" s="11">
        <v>0</v>
      </c>
      <c r="E129" s="14" t="s">
        <v>10</v>
      </c>
      <c r="F129" s="82">
        <v>222.58</v>
      </c>
      <c r="G129" s="12">
        <v>30</v>
      </c>
      <c r="H129" t="s">
        <v>43</v>
      </c>
      <c r="I129">
        <v>6203</v>
      </c>
      <c r="J129" s="37">
        <f>F129*G129</f>
        <v>6677.4000000000005</v>
      </c>
      <c r="K129" s="18"/>
      <c r="L129" s="18"/>
    </row>
    <row r="130" spans="1:12" x14ac:dyDescent="0.25">
      <c r="A130">
        <v>62</v>
      </c>
      <c r="B130" s="15" t="s">
        <v>45</v>
      </c>
      <c r="C130">
        <v>1</v>
      </c>
      <c r="D130" s="13"/>
      <c r="E130" s="6">
        <v>46053</v>
      </c>
      <c r="F130" s="7" t="s">
        <v>7</v>
      </c>
      <c r="G130" s="8" t="s">
        <v>299</v>
      </c>
      <c r="J130" s="37"/>
    </row>
    <row r="131" spans="1:12" ht="15.6" x14ac:dyDescent="0.3">
      <c r="B131" s="16"/>
      <c r="C131" s="11">
        <v>2</v>
      </c>
      <c r="D131" s="11">
        <v>0</v>
      </c>
      <c r="E131" s="6" t="s">
        <v>26</v>
      </c>
      <c r="F131" s="82">
        <v>255</v>
      </c>
      <c r="G131" s="12">
        <v>30</v>
      </c>
      <c r="H131" t="s">
        <v>43</v>
      </c>
      <c r="I131">
        <v>6203</v>
      </c>
      <c r="J131" s="86">
        <f>F131*G131</f>
        <v>7650</v>
      </c>
    </row>
    <row r="132" spans="1:12" x14ac:dyDescent="0.25">
      <c r="A132">
        <v>63</v>
      </c>
      <c r="B132" s="20" t="s">
        <v>311</v>
      </c>
      <c r="C132">
        <v>1</v>
      </c>
      <c r="E132" s="6">
        <v>46053</v>
      </c>
      <c r="F132" s="21" t="s">
        <v>7</v>
      </c>
      <c r="G132" s="8" t="s">
        <v>299</v>
      </c>
      <c r="J132" s="37"/>
    </row>
    <row r="133" spans="1:12" ht="15.6" x14ac:dyDescent="0.3">
      <c r="C133" s="11">
        <v>2</v>
      </c>
      <c r="D133" s="11">
        <v>0</v>
      </c>
      <c r="E133" s="14" t="s">
        <v>10</v>
      </c>
      <c r="F133" s="64">
        <v>25.67</v>
      </c>
      <c r="G133">
        <v>30</v>
      </c>
      <c r="H133" t="s">
        <v>43</v>
      </c>
      <c r="I133">
        <v>6203</v>
      </c>
      <c r="J133" s="86">
        <f>F133*G133</f>
        <v>770.1</v>
      </c>
    </row>
    <row r="134" spans="1:12" x14ac:dyDescent="0.25">
      <c r="A134">
        <v>64</v>
      </c>
      <c r="B134" s="15" t="s">
        <v>14</v>
      </c>
      <c r="C134">
        <v>1</v>
      </c>
      <c r="D134" s="13"/>
      <c r="E134" s="6">
        <v>46053</v>
      </c>
      <c r="F134" s="7" t="s">
        <v>7</v>
      </c>
      <c r="G134" s="8" t="s">
        <v>299</v>
      </c>
      <c r="J134" s="37"/>
    </row>
    <row r="135" spans="1:12" ht="15.6" x14ac:dyDescent="0.3">
      <c r="B135" s="16"/>
      <c r="C135" s="11">
        <v>2</v>
      </c>
      <c r="D135" s="11">
        <v>0</v>
      </c>
      <c r="E135" s="6" t="s">
        <v>26</v>
      </c>
      <c r="F135" s="82">
        <v>11</v>
      </c>
      <c r="G135" s="12">
        <v>32</v>
      </c>
      <c r="H135" t="s">
        <v>43</v>
      </c>
      <c r="I135">
        <v>6203</v>
      </c>
      <c r="J135" s="38">
        <f>F135*G135</f>
        <v>352</v>
      </c>
    </row>
    <row r="136" spans="1:12" x14ac:dyDescent="0.25">
      <c r="A136">
        <v>65</v>
      </c>
      <c r="B136" s="20" t="s">
        <v>46</v>
      </c>
      <c r="C136">
        <v>1</v>
      </c>
      <c r="E136" s="6">
        <v>46053</v>
      </c>
      <c r="F136" s="21" t="s">
        <v>7</v>
      </c>
      <c r="G136" s="8" t="s">
        <v>299</v>
      </c>
      <c r="J136" s="37"/>
    </row>
    <row r="137" spans="1:12" ht="15.6" x14ac:dyDescent="0.3">
      <c r="C137" s="11">
        <v>2</v>
      </c>
      <c r="D137" s="11">
        <v>0</v>
      </c>
      <c r="E137" s="14" t="s">
        <v>10</v>
      </c>
      <c r="F137" s="82">
        <v>281.52999999999997</v>
      </c>
      <c r="G137">
        <v>30</v>
      </c>
      <c r="H137" t="s">
        <v>43</v>
      </c>
      <c r="I137">
        <v>6203</v>
      </c>
      <c r="J137" s="86">
        <f>F137*G137</f>
        <v>8445.9</v>
      </c>
    </row>
    <row r="138" spans="1:12" x14ac:dyDescent="0.25">
      <c r="A138">
        <v>66</v>
      </c>
      <c r="B138" s="15" t="s">
        <v>18</v>
      </c>
      <c r="C138">
        <v>1</v>
      </c>
      <c r="D138" s="13"/>
      <c r="E138" s="6">
        <v>46053</v>
      </c>
      <c r="F138" s="7" t="s">
        <v>7</v>
      </c>
      <c r="G138" s="8" t="s">
        <v>299</v>
      </c>
      <c r="J138" s="37"/>
    </row>
    <row r="139" spans="1:12" ht="15.6" x14ac:dyDescent="0.3">
      <c r="B139" s="16"/>
      <c r="C139" s="11">
        <v>2</v>
      </c>
      <c r="D139" s="11">
        <v>0</v>
      </c>
      <c r="E139" s="6" t="s">
        <v>26</v>
      </c>
      <c r="F139" s="82">
        <v>16.34</v>
      </c>
      <c r="G139" s="12">
        <v>35</v>
      </c>
      <c r="H139" t="s">
        <v>43</v>
      </c>
      <c r="I139">
        <v>6203</v>
      </c>
      <c r="J139" s="38">
        <f>F139*G139</f>
        <v>571.9</v>
      </c>
    </row>
    <row r="140" spans="1:12" x14ac:dyDescent="0.25">
      <c r="A140">
        <v>67</v>
      </c>
      <c r="B140" s="15" t="s">
        <v>431</v>
      </c>
      <c r="C140">
        <v>1</v>
      </c>
      <c r="D140" s="13"/>
      <c r="E140" s="6">
        <v>46053</v>
      </c>
      <c r="F140" s="7" t="s">
        <v>7</v>
      </c>
      <c r="G140" s="8" t="s">
        <v>299</v>
      </c>
      <c r="J140" s="37"/>
    </row>
    <row r="141" spans="1:12" ht="15.6" x14ac:dyDescent="0.3">
      <c r="B141" s="16"/>
      <c r="C141" s="11">
        <v>2</v>
      </c>
      <c r="D141" s="11">
        <v>0</v>
      </c>
      <c r="E141" s="6" t="s">
        <v>26</v>
      </c>
      <c r="F141" s="82">
        <v>10.51</v>
      </c>
      <c r="G141" s="12">
        <v>35</v>
      </c>
      <c r="H141" t="s">
        <v>43</v>
      </c>
      <c r="I141">
        <v>6203</v>
      </c>
      <c r="J141" s="38">
        <f>F141*G141</f>
        <v>367.84999999999997</v>
      </c>
    </row>
    <row r="142" spans="1:12" x14ac:dyDescent="0.25">
      <c r="A142">
        <v>68</v>
      </c>
      <c r="B142" s="15" t="s">
        <v>15</v>
      </c>
      <c r="C142">
        <v>1</v>
      </c>
      <c r="D142" s="13"/>
      <c r="E142" s="6">
        <v>46053</v>
      </c>
      <c r="F142" s="7" t="s">
        <v>7</v>
      </c>
      <c r="G142" s="8" t="s">
        <v>299</v>
      </c>
      <c r="J142" s="37"/>
    </row>
    <row r="143" spans="1:12" ht="15.6" x14ac:dyDescent="0.3">
      <c r="B143" s="16"/>
      <c r="C143" s="11">
        <v>2</v>
      </c>
      <c r="D143" s="11">
        <v>0</v>
      </c>
      <c r="E143" s="6" t="s">
        <v>26</v>
      </c>
      <c r="F143" s="82">
        <v>20.43</v>
      </c>
      <c r="G143" s="12">
        <v>35</v>
      </c>
      <c r="H143" t="s">
        <v>43</v>
      </c>
      <c r="I143">
        <v>6203</v>
      </c>
      <c r="J143" s="38">
        <f>F143*G143</f>
        <v>715.05</v>
      </c>
    </row>
    <row r="144" spans="1:12" x14ac:dyDescent="0.25">
      <c r="A144">
        <v>69</v>
      </c>
      <c r="B144" s="15" t="s">
        <v>6</v>
      </c>
      <c r="C144">
        <v>1</v>
      </c>
      <c r="D144" s="13"/>
      <c r="E144" s="6">
        <v>46053</v>
      </c>
      <c r="F144" s="7" t="s">
        <v>7</v>
      </c>
      <c r="G144" s="8" t="s">
        <v>299</v>
      </c>
      <c r="J144" s="37"/>
    </row>
    <row r="145" spans="1:10" ht="15.6" x14ac:dyDescent="0.3">
      <c r="B145" s="16"/>
      <c r="C145" s="11">
        <v>2</v>
      </c>
      <c r="D145" s="11">
        <v>0</v>
      </c>
      <c r="E145" s="6" t="s">
        <v>26</v>
      </c>
      <c r="F145" s="82">
        <v>19.25</v>
      </c>
      <c r="G145" s="12">
        <v>35</v>
      </c>
      <c r="H145" t="s">
        <v>43</v>
      </c>
      <c r="I145">
        <v>6203</v>
      </c>
      <c r="J145" s="38">
        <f>F145*G145</f>
        <v>673.75</v>
      </c>
    </row>
    <row r="146" spans="1:10" x14ac:dyDescent="0.25">
      <c r="A146">
        <v>70</v>
      </c>
      <c r="B146" s="15" t="s">
        <v>11</v>
      </c>
      <c r="C146">
        <v>1</v>
      </c>
      <c r="D146" s="13"/>
      <c r="E146" s="6">
        <v>46053</v>
      </c>
      <c r="F146" s="7" t="s">
        <v>7</v>
      </c>
      <c r="G146" s="8" t="s">
        <v>299</v>
      </c>
      <c r="J146" s="37"/>
    </row>
    <row r="147" spans="1:10" ht="15.6" x14ac:dyDescent="0.3">
      <c r="B147" s="16"/>
      <c r="C147" s="11">
        <v>2</v>
      </c>
      <c r="D147" s="11">
        <v>0</v>
      </c>
      <c r="E147" s="6" t="s">
        <v>26</v>
      </c>
      <c r="F147" s="82">
        <v>10.61</v>
      </c>
      <c r="G147" s="12">
        <v>35</v>
      </c>
      <c r="H147" t="s">
        <v>43</v>
      </c>
      <c r="I147">
        <v>6203</v>
      </c>
      <c r="J147" s="38">
        <f>F147*G147</f>
        <v>371.34999999999997</v>
      </c>
    </row>
    <row r="148" spans="1:10" x14ac:dyDescent="0.25">
      <c r="A148">
        <v>71</v>
      </c>
      <c r="B148" s="15" t="s">
        <v>405</v>
      </c>
      <c r="C148">
        <v>1</v>
      </c>
      <c r="D148" s="13"/>
      <c r="E148" s="6">
        <v>46053</v>
      </c>
      <c r="F148" s="7" t="s">
        <v>7</v>
      </c>
      <c r="G148" s="8" t="s">
        <v>299</v>
      </c>
      <c r="J148" s="37"/>
    </row>
    <row r="149" spans="1:10" ht="15.6" x14ac:dyDescent="0.3">
      <c r="B149" s="16"/>
      <c r="C149" s="11">
        <v>2</v>
      </c>
      <c r="D149" s="11">
        <v>0</v>
      </c>
      <c r="E149" s="6" t="s">
        <v>26</v>
      </c>
      <c r="F149" s="82">
        <v>13.2</v>
      </c>
      <c r="G149" s="12">
        <v>35</v>
      </c>
      <c r="H149" t="s">
        <v>43</v>
      </c>
      <c r="I149">
        <v>6203</v>
      </c>
      <c r="J149" s="38">
        <f>F149*G149</f>
        <v>462</v>
      </c>
    </row>
    <row r="150" spans="1:10" x14ac:dyDescent="0.25">
      <c r="A150">
        <v>72</v>
      </c>
      <c r="B150" s="15" t="s">
        <v>16</v>
      </c>
      <c r="C150">
        <v>1</v>
      </c>
      <c r="D150" s="13"/>
      <c r="E150" s="6">
        <v>46053</v>
      </c>
      <c r="F150" s="7" t="s">
        <v>7</v>
      </c>
      <c r="G150" s="8" t="s">
        <v>299</v>
      </c>
      <c r="J150" s="37"/>
    </row>
    <row r="151" spans="1:10" ht="15.6" x14ac:dyDescent="0.3">
      <c r="B151" s="16"/>
      <c r="C151" s="11">
        <v>2</v>
      </c>
      <c r="D151" s="11">
        <v>0</v>
      </c>
      <c r="E151" s="6" t="s">
        <v>26</v>
      </c>
      <c r="F151" s="82">
        <v>14.03</v>
      </c>
      <c r="G151" s="12">
        <v>35</v>
      </c>
      <c r="H151" t="s">
        <v>43</v>
      </c>
      <c r="I151">
        <v>6203</v>
      </c>
      <c r="J151" s="38">
        <f>F151*G151</f>
        <v>491.04999999999995</v>
      </c>
    </row>
    <row r="152" spans="1:10" x14ac:dyDescent="0.25">
      <c r="A152">
        <v>73</v>
      </c>
      <c r="B152" s="15" t="s">
        <v>150</v>
      </c>
      <c r="C152">
        <v>1</v>
      </c>
      <c r="D152" s="13"/>
      <c r="E152" s="6">
        <v>46053</v>
      </c>
      <c r="F152" s="7" t="s">
        <v>7</v>
      </c>
      <c r="G152" s="8" t="s">
        <v>299</v>
      </c>
      <c r="J152" s="37"/>
    </row>
    <row r="153" spans="1:10" ht="15.6" x14ac:dyDescent="0.3">
      <c r="B153" s="16"/>
      <c r="C153" s="11">
        <v>2</v>
      </c>
      <c r="D153" s="11">
        <v>0</v>
      </c>
      <c r="E153" s="6" t="s">
        <v>26</v>
      </c>
      <c r="F153" s="82">
        <v>15.67</v>
      </c>
      <c r="G153" s="12">
        <v>32</v>
      </c>
      <c r="H153" t="s">
        <v>43</v>
      </c>
      <c r="I153">
        <v>6203</v>
      </c>
      <c r="J153" s="38">
        <f>F153*G153</f>
        <v>501.44</v>
      </c>
    </row>
    <row r="154" spans="1:10" ht="13.5" customHeight="1" x14ac:dyDescent="0.25">
      <c r="A154">
        <v>74</v>
      </c>
      <c r="B154" s="15" t="s">
        <v>18</v>
      </c>
      <c r="C154">
        <v>1</v>
      </c>
      <c r="D154" s="13"/>
      <c r="E154" s="6">
        <v>46053</v>
      </c>
      <c r="F154" s="7" t="s">
        <v>7</v>
      </c>
      <c r="G154" s="8" t="s">
        <v>300</v>
      </c>
      <c r="J154" s="39"/>
    </row>
    <row r="155" spans="1:10" x14ac:dyDescent="0.25">
      <c r="B155" s="16"/>
      <c r="C155" s="11">
        <v>2</v>
      </c>
      <c r="D155" s="11">
        <v>0</v>
      </c>
      <c r="E155" s="6" t="s">
        <v>12</v>
      </c>
      <c r="F155" s="63">
        <v>28</v>
      </c>
      <c r="G155" s="12">
        <v>35</v>
      </c>
      <c r="H155" t="s">
        <v>47</v>
      </c>
      <c r="I155">
        <v>6203</v>
      </c>
      <c r="J155" s="40">
        <f>F155*G155</f>
        <v>980</v>
      </c>
    </row>
    <row r="156" spans="1:10" ht="13.5" customHeight="1" x14ac:dyDescent="0.25">
      <c r="A156">
        <v>75</v>
      </c>
      <c r="B156" s="15" t="s">
        <v>157</v>
      </c>
      <c r="C156">
        <v>1</v>
      </c>
      <c r="D156" s="13"/>
      <c r="E156" s="6">
        <v>46053</v>
      </c>
      <c r="F156" s="7" t="s">
        <v>7</v>
      </c>
      <c r="G156" s="8" t="s">
        <v>300</v>
      </c>
      <c r="J156" s="39"/>
    </row>
    <row r="157" spans="1:10" ht="15.6" x14ac:dyDescent="0.3">
      <c r="B157" s="16"/>
      <c r="C157" s="11">
        <v>2</v>
      </c>
      <c r="D157" s="11">
        <v>0</v>
      </c>
      <c r="E157" s="6" t="s">
        <v>10</v>
      </c>
      <c r="F157" s="85">
        <v>25.5</v>
      </c>
      <c r="G157" s="12">
        <v>33</v>
      </c>
      <c r="H157" t="s">
        <v>47</v>
      </c>
      <c r="I157">
        <v>6203</v>
      </c>
      <c r="J157" s="40">
        <f>F157*G157</f>
        <v>841.5</v>
      </c>
    </row>
    <row r="158" spans="1:10" ht="13.5" customHeight="1" x14ac:dyDescent="0.25">
      <c r="A158">
        <v>76</v>
      </c>
      <c r="B158" s="15" t="s">
        <v>293</v>
      </c>
      <c r="C158">
        <v>1</v>
      </c>
      <c r="D158" s="13"/>
      <c r="E158" s="6">
        <v>46053</v>
      </c>
      <c r="F158" s="7" t="s">
        <v>7</v>
      </c>
      <c r="G158" s="8" t="s">
        <v>300</v>
      </c>
      <c r="J158" s="39"/>
    </row>
    <row r="159" spans="1:10" ht="15.6" x14ac:dyDescent="0.3">
      <c r="B159" s="16"/>
      <c r="C159" s="11">
        <v>2</v>
      </c>
      <c r="D159" s="11">
        <v>0</v>
      </c>
      <c r="E159" s="6" t="s">
        <v>10</v>
      </c>
      <c r="F159" s="64">
        <v>64.17</v>
      </c>
      <c r="G159" s="12">
        <v>33</v>
      </c>
      <c r="H159" t="s">
        <v>47</v>
      </c>
      <c r="I159">
        <v>6203</v>
      </c>
      <c r="J159" s="40">
        <f>F159*G159</f>
        <v>2117.61</v>
      </c>
    </row>
    <row r="160" spans="1:10" ht="13.5" customHeight="1" x14ac:dyDescent="0.25">
      <c r="A160">
        <v>77</v>
      </c>
      <c r="B160" s="15" t="s">
        <v>48</v>
      </c>
      <c r="C160">
        <v>1</v>
      </c>
      <c r="D160" s="13"/>
      <c r="E160" s="6">
        <v>46053</v>
      </c>
      <c r="F160" s="7" t="s">
        <v>7</v>
      </c>
      <c r="G160" s="8" t="s">
        <v>300</v>
      </c>
      <c r="J160" s="39"/>
    </row>
    <row r="161" spans="1:10" ht="15.6" x14ac:dyDescent="0.3">
      <c r="B161" s="16"/>
      <c r="C161" s="11">
        <v>2</v>
      </c>
      <c r="D161" s="11">
        <v>0</v>
      </c>
      <c r="E161" s="6" t="s">
        <v>10</v>
      </c>
      <c r="F161" s="64">
        <v>135.08000000000001</v>
      </c>
      <c r="G161" s="12">
        <v>33</v>
      </c>
      <c r="H161" t="s">
        <v>47</v>
      </c>
      <c r="I161">
        <v>6203</v>
      </c>
      <c r="J161" s="40">
        <f>F161*G161</f>
        <v>4457.6400000000003</v>
      </c>
    </row>
    <row r="162" spans="1:10" ht="13.5" customHeight="1" x14ac:dyDescent="0.25">
      <c r="A162">
        <v>78</v>
      </c>
      <c r="B162" s="15" t="s">
        <v>32</v>
      </c>
      <c r="C162">
        <v>1</v>
      </c>
      <c r="D162" s="13"/>
      <c r="E162" s="6">
        <v>46053</v>
      </c>
      <c r="F162" s="7" t="s">
        <v>7</v>
      </c>
      <c r="G162" s="8" t="s">
        <v>300</v>
      </c>
      <c r="J162" s="39"/>
    </row>
    <row r="163" spans="1:10" ht="15.6" x14ac:dyDescent="0.3">
      <c r="B163" s="16"/>
      <c r="C163" s="11">
        <v>2</v>
      </c>
      <c r="D163" s="11">
        <v>0</v>
      </c>
      <c r="E163" s="6" t="s">
        <v>10</v>
      </c>
      <c r="F163" s="64">
        <v>1026.58</v>
      </c>
      <c r="G163" s="12">
        <v>33</v>
      </c>
      <c r="H163" t="s">
        <v>47</v>
      </c>
      <c r="I163">
        <v>6203</v>
      </c>
      <c r="J163" s="40">
        <f>F163*G163</f>
        <v>33877.14</v>
      </c>
    </row>
    <row r="164" spans="1:10" ht="13.5" customHeight="1" x14ac:dyDescent="0.25">
      <c r="A164">
        <v>79</v>
      </c>
      <c r="B164" s="15" t="s">
        <v>533</v>
      </c>
      <c r="C164">
        <v>1</v>
      </c>
      <c r="D164" s="13"/>
      <c r="E164" s="6">
        <v>46053</v>
      </c>
      <c r="F164" s="7" t="s">
        <v>7</v>
      </c>
      <c r="G164" s="8" t="s">
        <v>300</v>
      </c>
      <c r="J164" s="39"/>
    </row>
    <row r="165" spans="1:10" ht="15.6" x14ac:dyDescent="0.3">
      <c r="B165" s="16"/>
      <c r="C165" s="11">
        <v>2</v>
      </c>
      <c r="D165" s="11">
        <v>0</v>
      </c>
      <c r="E165" s="6" t="s">
        <v>10</v>
      </c>
      <c r="F165" s="64">
        <v>31.25</v>
      </c>
      <c r="G165" s="12">
        <v>35</v>
      </c>
      <c r="H165" t="s">
        <v>47</v>
      </c>
      <c r="I165">
        <v>6203</v>
      </c>
      <c r="J165" s="40">
        <f>F165*G165</f>
        <v>1093.75</v>
      </c>
    </row>
    <row r="166" spans="1:10" ht="13.5" customHeight="1" x14ac:dyDescent="0.25">
      <c r="A166">
        <v>80</v>
      </c>
      <c r="B166" s="15" t="s">
        <v>49</v>
      </c>
      <c r="C166">
        <v>1</v>
      </c>
      <c r="D166" s="13"/>
      <c r="E166" s="6">
        <v>46053</v>
      </c>
      <c r="F166" s="7" t="s">
        <v>7</v>
      </c>
      <c r="G166" s="8" t="s">
        <v>300</v>
      </c>
      <c r="J166" s="39"/>
    </row>
    <row r="167" spans="1:10" ht="15.6" x14ac:dyDescent="0.3">
      <c r="B167" s="16"/>
      <c r="C167" s="11">
        <v>2</v>
      </c>
      <c r="D167" s="11">
        <v>0</v>
      </c>
      <c r="E167" s="6" t="s">
        <v>10</v>
      </c>
      <c r="F167" s="64">
        <v>14</v>
      </c>
      <c r="G167" s="12">
        <v>33</v>
      </c>
      <c r="H167" t="s">
        <v>47</v>
      </c>
      <c r="I167">
        <v>6203</v>
      </c>
      <c r="J167" s="40">
        <f>F167*G167</f>
        <v>462</v>
      </c>
    </row>
    <row r="168" spans="1:10" ht="13.5" customHeight="1" x14ac:dyDescent="0.25">
      <c r="A168">
        <v>81</v>
      </c>
      <c r="B168" s="15" t="s">
        <v>6</v>
      </c>
      <c r="C168">
        <v>1</v>
      </c>
      <c r="D168" s="13"/>
      <c r="E168" s="6">
        <v>46053</v>
      </c>
      <c r="F168" s="7" t="s">
        <v>7</v>
      </c>
      <c r="G168" s="8" t="s">
        <v>300</v>
      </c>
      <c r="J168" s="39"/>
    </row>
    <row r="169" spans="1:10" ht="15.6" x14ac:dyDescent="0.3">
      <c r="B169" s="16"/>
      <c r="C169" s="11">
        <v>2</v>
      </c>
      <c r="D169" s="11">
        <v>0</v>
      </c>
      <c r="E169" s="6" t="s">
        <v>10</v>
      </c>
      <c r="F169" s="64">
        <v>13.33</v>
      </c>
      <c r="G169" s="12">
        <v>35</v>
      </c>
      <c r="H169" t="s">
        <v>47</v>
      </c>
      <c r="I169">
        <v>6203</v>
      </c>
      <c r="J169" s="40">
        <f>F169*G169</f>
        <v>466.55</v>
      </c>
    </row>
    <row r="170" spans="1:10" ht="13.5" customHeight="1" x14ac:dyDescent="0.25">
      <c r="A170">
        <v>82</v>
      </c>
      <c r="B170" s="15" t="s">
        <v>11</v>
      </c>
      <c r="C170">
        <v>1</v>
      </c>
      <c r="D170" s="13"/>
      <c r="E170" s="6">
        <v>46053</v>
      </c>
      <c r="F170" s="7" t="s">
        <v>7</v>
      </c>
      <c r="G170" s="8" t="s">
        <v>300</v>
      </c>
      <c r="J170" s="39"/>
    </row>
    <row r="171" spans="1:10" ht="15.6" x14ac:dyDescent="0.3">
      <c r="B171" s="16"/>
      <c r="C171" s="11">
        <v>2</v>
      </c>
      <c r="D171" s="11">
        <v>0</v>
      </c>
      <c r="E171" s="6" t="s">
        <v>10</v>
      </c>
      <c r="F171" s="64">
        <v>19.5</v>
      </c>
      <c r="G171" s="12">
        <v>35</v>
      </c>
      <c r="H171" t="s">
        <v>47</v>
      </c>
      <c r="I171">
        <v>6203</v>
      </c>
      <c r="J171" s="40">
        <f>F171*G171</f>
        <v>682.5</v>
      </c>
    </row>
    <row r="172" spans="1:10" ht="13.5" customHeight="1" x14ac:dyDescent="0.25">
      <c r="A172">
        <v>83</v>
      </c>
      <c r="B172" s="15" t="s">
        <v>16</v>
      </c>
      <c r="C172">
        <v>1</v>
      </c>
      <c r="D172" s="13"/>
      <c r="E172" s="6">
        <v>46053</v>
      </c>
      <c r="F172" s="7" t="s">
        <v>7</v>
      </c>
      <c r="G172" s="8" t="s">
        <v>300</v>
      </c>
      <c r="J172" s="39"/>
    </row>
    <row r="173" spans="1:10" ht="15.6" x14ac:dyDescent="0.3">
      <c r="B173" s="16"/>
      <c r="C173" s="11">
        <v>2</v>
      </c>
      <c r="D173" s="11">
        <v>0</v>
      </c>
      <c r="E173" s="6" t="s">
        <v>10</v>
      </c>
      <c r="F173" s="64">
        <v>24</v>
      </c>
      <c r="G173" s="12">
        <v>35</v>
      </c>
      <c r="H173" t="s">
        <v>47</v>
      </c>
      <c r="I173">
        <v>6203</v>
      </c>
      <c r="J173" s="40">
        <f>F173*G173</f>
        <v>840</v>
      </c>
    </row>
    <row r="174" spans="1:10" ht="13.5" customHeight="1" x14ac:dyDescent="0.25">
      <c r="A174">
        <v>84</v>
      </c>
      <c r="B174" s="15" t="s">
        <v>150</v>
      </c>
      <c r="C174">
        <v>1</v>
      </c>
      <c r="D174" s="13"/>
      <c r="E174" s="6">
        <v>46053</v>
      </c>
      <c r="F174" s="7" t="s">
        <v>7</v>
      </c>
      <c r="G174" s="8" t="s">
        <v>300</v>
      </c>
      <c r="J174" s="39"/>
    </row>
    <row r="175" spans="1:10" ht="15.6" x14ac:dyDescent="0.3">
      <c r="B175" s="16"/>
      <c r="C175" s="11">
        <v>2</v>
      </c>
      <c r="D175" s="11">
        <v>0</v>
      </c>
      <c r="E175" s="6" t="s">
        <v>10</v>
      </c>
      <c r="F175" s="64">
        <v>36.700000000000003</v>
      </c>
      <c r="G175" s="12">
        <v>32</v>
      </c>
      <c r="H175" t="s">
        <v>47</v>
      </c>
      <c r="I175">
        <v>6203</v>
      </c>
      <c r="J175" s="40">
        <f>F175*G175</f>
        <v>1174.4000000000001</v>
      </c>
    </row>
    <row r="176" spans="1:10" ht="13.5" customHeight="1" x14ac:dyDescent="0.25">
      <c r="A176">
        <v>85</v>
      </c>
      <c r="B176" s="15" t="s">
        <v>164</v>
      </c>
      <c r="C176">
        <v>1</v>
      </c>
      <c r="D176" s="13"/>
      <c r="E176" s="6">
        <v>46053</v>
      </c>
      <c r="F176" s="7" t="s">
        <v>7</v>
      </c>
      <c r="G176" s="8" t="s">
        <v>300</v>
      </c>
      <c r="J176" s="39"/>
    </row>
    <row r="177" spans="1:12" ht="15.6" x14ac:dyDescent="0.3">
      <c r="B177" s="16"/>
      <c r="C177" s="11">
        <v>2</v>
      </c>
      <c r="D177" s="11">
        <v>0</v>
      </c>
      <c r="E177" s="6" t="s">
        <v>439</v>
      </c>
      <c r="F177" s="64">
        <v>33</v>
      </c>
      <c r="G177" s="12">
        <v>230</v>
      </c>
      <c r="H177" t="s">
        <v>47</v>
      </c>
      <c r="I177">
        <v>6203</v>
      </c>
      <c r="J177" s="40">
        <f>F177*G177</f>
        <v>7590</v>
      </c>
    </row>
    <row r="178" spans="1:12" ht="13.5" customHeight="1" x14ac:dyDescent="0.25">
      <c r="A178">
        <v>86</v>
      </c>
      <c r="B178" s="15" t="s">
        <v>450</v>
      </c>
      <c r="C178">
        <v>1</v>
      </c>
      <c r="D178" s="13"/>
      <c r="E178" s="6">
        <v>46053</v>
      </c>
      <c r="F178" s="7" t="s">
        <v>7</v>
      </c>
      <c r="G178" s="8" t="s">
        <v>300</v>
      </c>
      <c r="J178" s="39"/>
    </row>
    <row r="179" spans="1:12" ht="15.6" x14ac:dyDescent="0.3">
      <c r="B179" s="16"/>
      <c r="C179" s="11">
        <v>2</v>
      </c>
      <c r="D179" s="11">
        <v>0</v>
      </c>
      <c r="E179" s="6" t="s">
        <v>10</v>
      </c>
      <c r="F179" s="64">
        <v>191.25</v>
      </c>
      <c r="G179" s="12">
        <v>33</v>
      </c>
      <c r="H179" t="s">
        <v>47</v>
      </c>
      <c r="I179">
        <v>6203</v>
      </c>
      <c r="J179" s="40">
        <f>F179*G179</f>
        <v>6311.25</v>
      </c>
    </row>
    <row r="180" spans="1:12" ht="13.5" customHeight="1" x14ac:dyDescent="0.25">
      <c r="A180">
        <v>87</v>
      </c>
      <c r="B180" s="15" t="s">
        <v>28</v>
      </c>
      <c r="C180">
        <v>1</v>
      </c>
      <c r="D180" s="13"/>
      <c r="E180" s="6">
        <v>46053</v>
      </c>
      <c r="F180" s="7" t="s">
        <v>7</v>
      </c>
      <c r="G180" s="8" t="s">
        <v>300</v>
      </c>
      <c r="J180" s="39"/>
    </row>
    <row r="181" spans="1:12" ht="15.6" x14ac:dyDescent="0.3">
      <c r="B181" s="16"/>
      <c r="C181" s="11">
        <v>2</v>
      </c>
      <c r="D181" s="11">
        <v>0</v>
      </c>
      <c r="E181" s="6" t="s">
        <v>10</v>
      </c>
      <c r="F181" s="64">
        <v>106.17</v>
      </c>
      <c r="G181" s="12">
        <v>35</v>
      </c>
      <c r="H181" t="s">
        <v>47</v>
      </c>
      <c r="I181">
        <v>6203</v>
      </c>
      <c r="J181" s="40">
        <f>F181*G181</f>
        <v>3715.9500000000003</v>
      </c>
    </row>
    <row r="182" spans="1:12" x14ac:dyDescent="0.25">
      <c r="A182">
        <v>88</v>
      </c>
      <c r="B182" s="20" t="s">
        <v>305</v>
      </c>
      <c r="C182">
        <v>1</v>
      </c>
      <c r="E182" s="6">
        <v>46053</v>
      </c>
      <c r="F182" s="21" t="s">
        <v>7</v>
      </c>
      <c r="G182" s="8" t="s">
        <v>301</v>
      </c>
      <c r="J182" s="52"/>
    </row>
    <row r="183" spans="1:12" ht="15.6" x14ac:dyDescent="0.3">
      <c r="C183" s="11">
        <v>2</v>
      </c>
      <c r="D183" s="11">
        <v>0</v>
      </c>
      <c r="E183" s="14" t="s">
        <v>51</v>
      </c>
      <c r="F183" s="61">
        <v>232</v>
      </c>
      <c r="G183">
        <v>35</v>
      </c>
      <c r="H183" t="s">
        <v>52</v>
      </c>
      <c r="I183">
        <v>6203</v>
      </c>
      <c r="J183" s="52">
        <f>F183*G183</f>
        <v>8120</v>
      </c>
    </row>
    <row r="184" spans="1:12" x14ac:dyDescent="0.25">
      <c r="A184">
        <v>89</v>
      </c>
      <c r="B184" s="20" t="s">
        <v>50</v>
      </c>
      <c r="C184">
        <v>1</v>
      </c>
      <c r="E184" s="6">
        <v>46053</v>
      </c>
      <c r="F184" s="21" t="s">
        <v>7</v>
      </c>
      <c r="G184" s="8" t="s">
        <v>301</v>
      </c>
      <c r="J184" s="52"/>
    </row>
    <row r="185" spans="1:12" ht="15.6" x14ac:dyDescent="0.3">
      <c r="C185" s="11">
        <v>2</v>
      </c>
      <c r="D185" s="11">
        <v>0</v>
      </c>
      <c r="E185" s="14" t="s">
        <v>51</v>
      </c>
      <c r="F185" s="61">
        <v>246</v>
      </c>
      <c r="G185">
        <v>35</v>
      </c>
      <c r="H185" t="s">
        <v>52</v>
      </c>
      <c r="I185">
        <v>6203</v>
      </c>
      <c r="J185" s="52">
        <f>F185*G185</f>
        <v>8610</v>
      </c>
    </row>
    <row r="186" spans="1:12" x14ac:dyDescent="0.25">
      <c r="A186">
        <v>90</v>
      </c>
      <c r="B186" s="20" t="s">
        <v>45</v>
      </c>
      <c r="C186">
        <v>1</v>
      </c>
      <c r="E186" s="6">
        <v>46053</v>
      </c>
      <c r="F186" s="21" t="s">
        <v>7</v>
      </c>
      <c r="G186" s="8" t="s">
        <v>301</v>
      </c>
      <c r="J186" s="52"/>
    </row>
    <row r="187" spans="1:12" ht="15.6" x14ac:dyDescent="0.3">
      <c r="C187" s="11">
        <v>2</v>
      </c>
      <c r="D187" s="11">
        <v>0</v>
      </c>
      <c r="E187" s="14" t="s">
        <v>51</v>
      </c>
      <c r="F187" s="61">
        <v>132</v>
      </c>
      <c r="G187">
        <v>35</v>
      </c>
      <c r="H187" t="s">
        <v>52</v>
      </c>
      <c r="I187">
        <v>6203</v>
      </c>
      <c r="J187" s="52">
        <f>F187*G187</f>
        <v>4620</v>
      </c>
    </row>
    <row r="188" spans="1:12" x14ac:dyDescent="0.25">
      <c r="A188">
        <v>91</v>
      </c>
      <c r="B188" s="20" t="s">
        <v>412</v>
      </c>
      <c r="C188">
        <v>1</v>
      </c>
      <c r="E188" s="6">
        <v>46053</v>
      </c>
      <c r="F188" s="21" t="s">
        <v>7</v>
      </c>
      <c r="G188" s="8" t="s">
        <v>301</v>
      </c>
      <c r="J188" s="52"/>
    </row>
    <row r="189" spans="1:12" ht="15.6" x14ac:dyDescent="0.3">
      <c r="C189" s="11">
        <v>2</v>
      </c>
      <c r="D189" s="11">
        <v>0</v>
      </c>
      <c r="E189" s="14" t="s">
        <v>51</v>
      </c>
      <c r="F189" s="61">
        <v>216</v>
      </c>
      <c r="G189">
        <v>36</v>
      </c>
      <c r="H189" t="s">
        <v>52</v>
      </c>
      <c r="I189">
        <v>6203</v>
      </c>
      <c r="J189" s="52">
        <f>F189*G189</f>
        <v>7776</v>
      </c>
    </row>
    <row r="190" spans="1:12" x14ac:dyDescent="0.25">
      <c r="H190" s="41"/>
    </row>
    <row r="192" spans="1:12" ht="15.6" x14ac:dyDescent="0.3">
      <c r="F192" s="35"/>
      <c r="J192" s="53" t="s">
        <v>53</v>
      </c>
      <c r="K192" s="53" t="s">
        <v>54</v>
      </c>
      <c r="L192" s="53" t="s">
        <v>55</v>
      </c>
    </row>
    <row r="193" spans="5:13" ht="15.6" thickBot="1" x14ac:dyDescent="0.3">
      <c r="H193" s="42" t="s">
        <v>56</v>
      </c>
      <c r="I193" s="42"/>
      <c r="J193" s="54">
        <v>90899.6</v>
      </c>
      <c r="K193" s="67">
        <f>SUM(J80:J103)</f>
        <v>90899.840000000011</v>
      </c>
      <c r="L193" s="68">
        <f t="shared" ref="L193:L199" si="0">K193-J193</f>
        <v>0.24000000000523869</v>
      </c>
      <c r="M193" s="43" t="s">
        <v>294</v>
      </c>
    </row>
    <row r="194" spans="5:13" ht="14.4" thickBot="1" x14ac:dyDescent="0.3">
      <c r="E194" s="44" t="s">
        <v>516</v>
      </c>
      <c r="H194" s="42" t="s">
        <v>57</v>
      </c>
      <c r="I194" s="42"/>
      <c r="J194" s="69">
        <v>81570.5</v>
      </c>
      <c r="K194" s="70">
        <f>SUM(J40:J79)</f>
        <v>84732.9</v>
      </c>
      <c r="L194" s="71">
        <f t="shared" si="0"/>
        <v>3162.3999999999942</v>
      </c>
      <c r="M194" s="43" t="s">
        <v>294</v>
      </c>
    </row>
    <row r="195" spans="5:13" ht="15" x14ac:dyDescent="0.25">
      <c r="H195" s="42" t="s">
        <v>58</v>
      </c>
      <c r="I195" s="42"/>
      <c r="J195" s="55">
        <v>165430.32</v>
      </c>
      <c r="K195" s="72">
        <f>SUM(J2:J39)</f>
        <v>165442.6</v>
      </c>
      <c r="L195" s="71">
        <f t="shared" si="0"/>
        <v>12.279999999998836</v>
      </c>
      <c r="M195" s="45" t="s">
        <v>294</v>
      </c>
    </row>
    <row r="196" spans="5:13" x14ac:dyDescent="0.25">
      <c r="H196" s="42" t="s">
        <v>59</v>
      </c>
      <c r="I196" s="42"/>
      <c r="J196" s="66">
        <v>125710</v>
      </c>
      <c r="K196" s="73">
        <f>SUM(J104:J123)</f>
        <v>124815.98999999999</v>
      </c>
      <c r="L196" s="71">
        <f t="shared" si="0"/>
        <v>-894.01000000000931</v>
      </c>
      <c r="M196" s="43" t="s">
        <v>440</v>
      </c>
    </row>
    <row r="197" spans="5:13" ht="15" x14ac:dyDescent="0.25">
      <c r="H197" s="46" t="s">
        <v>60</v>
      </c>
      <c r="I197" s="42"/>
      <c r="J197" s="74">
        <v>51185.53</v>
      </c>
      <c r="K197" s="75">
        <f>SUM(J124:J153)</f>
        <v>55398.390000000007</v>
      </c>
      <c r="L197" s="71">
        <f t="shared" si="0"/>
        <v>4212.8600000000079</v>
      </c>
      <c r="M197" s="43" t="s">
        <v>515</v>
      </c>
    </row>
    <row r="198" spans="5:13" ht="15" x14ac:dyDescent="0.25">
      <c r="H198" s="42" t="s">
        <v>61</v>
      </c>
      <c r="I198" s="42"/>
      <c r="J198" s="76">
        <v>64165.7499981086</v>
      </c>
      <c r="K198" s="77">
        <f>SUM(J154:J181)</f>
        <v>64610.29</v>
      </c>
      <c r="L198" s="71">
        <f t="shared" si="0"/>
        <v>444.54000189140061</v>
      </c>
      <c r="M198" s="43" t="s">
        <v>515</v>
      </c>
    </row>
    <row r="199" spans="5:13" ht="15.6" x14ac:dyDescent="0.3">
      <c r="H199" s="42" t="s">
        <v>62</v>
      </c>
      <c r="I199" s="42"/>
      <c r="J199" s="65">
        <v>28907.08</v>
      </c>
      <c r="K199" s="57">
        <f>SUM(J182:J189)</f>
        <v>29126</v>
      </c>
      <c r="L199" s="56">
        <f t="shared" si="0"/>
        <v>218.91999999999825</v>
      </c>
      <c r="M199" s="43" t="s">
        <v>515</v>
      </c>
    </row>
    <row r="200" spans="5:13" ht="15" x14ac:dyDescent="0.25">
      <c r="E200" s="210"/>
      <c r="F200" s="210"/>
      <c r="G200" s="47"/>
      <c r="H200" s="48" t="s">
        <v>63</v>
      </c>
      <c r="I200" s="48"/>
      <c r="J200" s="58">
        <f>SUM(J193:J199)</f>
        <v>607868.77999810863</v>
      </c>
      <c r="K200" s="56">
        <f>SUM(K193:K198)</f>
        <v>585900.01</v>
      </c>
      <c r="L200" s="56">
        <f>SUM(L193:L198)</f>
        <v>6938.3100018913974</v>
      </c>
    </row>
    <row r="201" spans="5:13" ht="15" x14ac:dyDescent="0.25">
      <c r="H201" s="2" t="s">
        <v>64</v>
      </c>
      <c r="I201" s="2"/>
      <c r="J201" s="59">
        <f>SUM(K193:K199)</f>
        <v>615026.01</v>
      </c>
      <c r="K201" s="51"/>
      <c r="L201" s="51"/>
    </row>
    <row r="202" spans="5:13" ht="15" x14ac:dyDescent="0.25">
      <c r="H202" s="49" t="s">
        <v>55</v>
      </c>
      <c r="I202" s="49"/>
      <c r="J202" s="60">
        <f>J200-J201</f>
        <v>-7157.2300018913811</v>
      </c>
      <c r="K202" s="51"/>
      <c r="L202" s="51"/>
    </row>
    <row r="203" spans="5:13" x14ac:dyDescent="0.25">
      <c r="J203" s="50"/>
    </row>
  </sheetData>
  <mergeCells count="1">
    <mergeCell ref="E200:F200"/>
  </mergeCells>
  <pageMargins left="0.25" right="0.25" top="0.75" bottom="0.75" header="0.3" footer="0.3"/>
  <pageSetup paperSize="9"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80C1-D3F3-41FB-9DE4-5EE70D8AA1C1}">
  <sheetPr>
    <pageSetUpPr fitToPage="1"/>
  </sheetPr>
  <dimension ref="A1:K195"/>
  <sheetViews>
    <sheetView rightToLeft="1" topLeftCell="A62" zoomScale="93" zoomScaleNormal="93" workbookViewId="0">
      <selection activeCell="A76" sqref="A76"/>
    </sheetView>
  </sheetViews>
  <sheetFormatPr defaultRowHeight="13.8" x14ac:dyDescent="0.25"/>
  <cols>
    <col min="1" max="1" width="17.69921875" customWidth="1"/>
    <col min="2" max="2" width="14.19921875" customWidth="1"/>
    <col min="3" max="3" width="14.69921875" customWidth="1"/>
    <col min="4" max="4" width="13.59765625" customWidth="1"/>
    <col min="7" max="7" width="13.8984375" customWidth="1"/>
    <col min="10" max="10" width="12.59765625" customWidth="1"/>
  </cols>
  <sheetData>
    <row r="1" spans="1:4" x14ac:dyDescent="0.25">
      <c r="A1" s="133" t="s">
        <v>419</v>
      </c>
      <c r="B1" s="133" t="s">
        <v>83</v>
      </c>
      <c r="C1" s="133" t="s">
        <v>75</v>
      </c>
      <c r="D1" s="133" t="s">
        <v>382</v>
      </c>
    </row>
    <row r="2" spans="1:4" x14ac:dyDescent="0.25">
      <c r="A2" s="134" t="s">
        <v>168</v>
      </c>
      <c r="B2" s="134">
        <v>170</v>
      </c>
      <c r="C2" s="146">
        <f>D2/32</f>
        <v>650.25000000351179</v>
      </c>
      <c r="D2" s="146">
        <v>20808.000000112377</v>
      </c>
    </row>
    <row r="3" spans="1:4" x14ac:dyDescent="0.25">
      <c r="A3" s="126" t="s">
        <v>383</v>
      </c>
      <c r="B3" s="126">
        <v>15</v>
      </c>
      <c r="C3" s="180">
        <f t="shared" ref="C3:C19" si="0">D3/32</f>
        <v>58.833333325514104</v>
      </c>
      <c r="D3" s="180">
        <v>1882.6666664164513</v>
      </c>
    </row>
    <row r="4" spans="1:4" x14ac:dyDescent="0.25">
      <c r="A4" s="126" t="s">
        <v>384</v>
      </c>
      <c r="B4" s="126">
        <v>20</v>
      </c>
      <c r="C4" s="180">
        <f t="shared" si="0"/>
        <v>80</v>
      </c>
      <c r="D4" s="180">
        <v>2560</v>
      </c>
    </row>
    <row r="5" spans="1:4" x14ac:dyDescent="0.25">
      <c r="A5" s="126" t="s">
        <v>385</v>
      </c>
      <c r="B5" s="126">
        <v>16</v>
      </c>
      <c r="C5" s="180">
        <f t="shared" si="0"/>
        <v>57.333333333333329</v>
      </c>
      <c r="D5" s="180">
        <v>1834.6666666666665</v>
      </c>
    </row>
    <row r="6" spans="1:4" x14ac:dyDescent="0.25">
      <c r="A6" s="126" t="s">
        <v>386</v>
      </c>
      <c r="B6" s="126">
        <v>8</v>
      </c>
      <c r="C6" s="180">
        <f t="shared" si="0"/>
        <v>33.333333344664425</v>
      </c>
      <c r="D6" s="180">
        <v>1066.6666670292616</v>
      </c>
    </row>
    <row r="7" spans="1:4" x14ac:dyDescent="0.25">
      <c r="A7" s="126" t="s">
        <v>387</v>
      </c>
      <c r="B7" s="126">
        <v>9</v>
      </c>
      <c r="C7" s="180">
        <f t="shared" si="0"/>
        <v>30.500000000000007</v>
      </c>
      <c r="D7" s="180">
        <v>976.00000000000023</v>
      </c>
    </row>
    <row r="8" spans="1:4" x14ac:dyDescent="0.25">
      <c r="A8" s="126" t="s">
        <v>388</v>
      </c>
      <c r="B8" s="126">
        <v>8</v>
      </c>
      <c r="C8" s="180">
        <f t="shared" si="0"/>
        <v>26.583333333333332</v>
      </c>
      <c r="D8" s="180">
        <v>850.66666666666663</v>
      </c>
    </row>
    <row r="9" spans="1:4" x14ac:dyDescent="0.25">
      <c r="A9" s="126" t="s">
        <v>389</v>
      </c>
      <c r="B9" s="126">
        <v>9</v>
      </c>
      <c r="C9" s="180">
        <f t="shared" si="0"/>
        <v>35</v>
      </c>
      <c r="D9" s="180">
        <v>1120</v>
      </c>
    </row>
    <row r="10" spans="1:4" x14ac:dyDescent="0.25">
      <c r="A10" s="126" t="s">
        <v>390</v>
      </c>
      <c r="B10" s="126">
        <v>8</v>
      </c>
      <c r="C10" s="180">
        <f t="shared" si="0"/>
        <v>34</v>
      </c>
      <c r="D10" s="180">
        <v>1088</v>
      </c>
    </row>
    <row r="11" spans="1:4" x14ac:dyDescent="0.25">
      <c r="A11" s="126" t="s">
        <v>391</v>
      </c>
      <c r="B11" s="126">
        <v>8</v>
      </c>
      <c r="C11" s="180">
        <f t="shared" si="0"/>
        <v>30.000000000000007</v>
      </c>
      <c r="D11" s="180">
        <v>960.00000000000023</v>
      </c>
    </row>
    <row r="12" spans="1:4" x14ac:dyDescent="0.25">
      <c r="A12" s="126" t="s">
        <v>392</v>
      </c>
      <c r="B12" s="126">
        <v>8</v>
      </c>
      <c r="C12" s="180">
        <f t="shared" si="0"/>
        <v>33.333333333333329</v>
      </c>
      <c r="D12" s="180">
        <v>1066.6666666666665</v>
      </c>
    </row>
    <row r="13" spans="1:4" x14ac:dyDescent="0.25">
      <c r="A13" s="126" t="s">
        <v>393</v>
      </c>
      <c r="B13" s="126">
        <v>8</v>
      </c>
      <c r="C13" s="180">
        <f t="shared" si="0"/>
        <v>29.666666666666664</v>
      </c>
      <c r="D13" s="180">
        <v>949.33333333333326</v>
      </c>
    </row>
    <row r="14" spans="1:4" x14ac:dyDescent="0.25">
      <c r="A14" s="126" t="s">
        <v>394</v>
      </c>
      <c r="B14" s="126">
        <v>7</v>
      </c>
      <c r="C14" s="180">
        <f t="shared" si="0"/>
        <v>28</v>
      </c>
      <c r="D14" s="180">
        <v>896</v>
      </c>
    </row>
    <row r="15" spans="1:4" x14ac:dyDescent="0.25">
      <c r="A15" s="126" t="s">
        <v>395</v>
      </c>
      <c r="B15" s="126">
        <v>9</v>
      </c>
      <c r="C15" s="180">
        <f t="shared" si="0"/>
        <v>31.000000000000007</v>
      </c>
      <c r="D15" s="180">
        <v>992.00000000000023</v>
      </c>
    </row>
    <row r="16" spans="1:4" x14ac:dyDescent="0.25">
      <c r="A16" s="126" t="s">
        <v>396</v>
      </c>
      <c r="B16" s="126">
        <v>8</v>
      </c>
      <c r="C16" s="180">
        <f t="shared" si="0"/>
        <v>29.5</v>
      </c>
      <c r="D16" s="180">
        <v>944</v>
      </c>
    </row>
    <row r="17" spans="1:4" x14ac:dyDescent="0.25">
      <c r="A17" s="126" t="s">
        <v>397</v>
      </c>
      <c r="B17" s="126">
        <v>7</v>
      </c>
      <c r="C17" s="180">
        <f t="shared" si="0"/>
        <v>28.666666666666661</v>
      </c>
      <c r="D17" s="180">
        <v>917.33333333333314</v>
      </c>
    </row>
    <row r="18" spans="1:4" x14ac:dyDescent="0.25">
      <c r="A18" s="126" t="s">
        <v>398</v>
      </c>
      <c r="B18" s="126">
        <v>15</v>
      </c>
      <c r="C18" s="180">
        <f t="shared" si="0"/>
        <v>59.999999999999986</v>
      </c>
      <c r="D18" s="180">
        <v>1919.9999999999995</v>
      </c>
    </row>
    <row r="19" spans="1:4" x14ac:dyDescent="0.25">
      <c r="A19" s="126" t="s">
        <v>399</v>
      </c>
      <c r="B19" s="126">
        <v>7</v>
      </c>
      <c r="C19" s="180">
        <f t="shared" si="0"/>
        <v>24.500000000000007</v>
      </c>
      <c r="D19" s="180">
        <v>784.00000000000023</v>
      </c>
    </row>
    <row r="20" spans="1:4" x14ac:dyDescent="0.25">
      <c r="A20" s="134" t="s">
        <v>174</v>
      </c>
      <c r="B20" s="134">
        <v>17</v>
      </c>
      <c r="C20" s="146">
        <f>D20/35</f>
        <v>35.083333332731854</v>
      </c>
      <c r="D20" s="146">
        <v>1227.9166666456149</v>
      </c>
    </row>
    <row r="21" spans="1:4" x14ac:dyDescent="0.25">
      <c r="A21" s="126" t="s">
        <v>383</v>
      </c>
      <c r="B21" s="126">
        <v>1</v>
      </c>
      <c r="C21" s="181">
        <f t="shared" ref="C21:C84" si="1">D21/35</f>
        <v>2.0833333327318542</v>
      </c>
      <c r="D21" s="180">
        <v>72.916666645614896</v>
      </c>
    </row>
    <row r="22" spans="1:4" x14ac:dyDescent="0.25">
      <c r="A22" s="126" t="s">
        <v>385</v>
      </c>
      <c r="B22" s="126">
        <v>1</v>
      </c>
      <c r="C22" s="181">
        <f t="shared" si="1"/>
        <v>0.99999999999999956</v>
      </c>
      <c r="D22" s="180">
        <v>34.999999999999986</v>
      </c>
    </row>
    <row r="23" spans="1:4" x14ac:dyDescent="0.25">
      <c r="A23" s="126" t="s">
        <v>386</v>
      </c>
      <c r="B23" s="126">
        <v>1</v>
      </c>
      <c r="C23" s="181">
        <f t="shared" si="1"/>
        <v>3.4999999999999996</v>
      </c>
      <c r="D23" s="180">
        <v>122.49999999999999</v>
      </c>
    </row>
    <row r="24" spans="1:4" x14ac:dyDescent="0.25">
      <c r="A24" s="126" t="s">
        <v>387</v>
      </c>
      <c r="B24" s="126">
        <v>1</v>
      </c>
      <c r="C24" s="181">
        <f t="shared" si="1"/>
        <v>1.5</v>
      </c>
      <c r="D24" s="180">
        <v>52.5</v>
      </c>
    </row>
    <row r="25" spans="1:4" x14ac:dyDescent="0.25">
      <c r="A25" s="126" t="s">
        <v>388</v>
      </c>
      <c r="B25" s="126">
        <v>1</v>
      </c>
      <c r="C25" s="181">
        <f t="shared" si="1"/>
        <v>2.25</v>
      </c>
      <c r="D25" s="180">
        <v>78.75</v>
      </c>
    </row>
    <row r="26" spans="1:4" x14ac:dyDescent="0.25">
      <c r="A26" s="126" t="s">
        <v>389</v>
      </c>
      <c r="B26" s="126">
        <v>1</v>
      </c>
      <c r="C26" s="181">
        <f t="shared" si="1"/>
        <v>0.99999999999999956</v>
      </c>
      <c r="D26" s="180">
        <v>34.999999999999986</v>
      </c>
    </row>
    <row r="27" spans="1:4" x14ac:dyDescent="0.25">
      <c r="A27" s="126" t="s">
        <v>390</v>
      </c>
      <c r="B27" s="126">
        <v>1</v>
      </c>
      <c r="C27" s="181">
        <f t="shared" si="1"/>
        <v>1.2499999999999996</v>
      </c>
      <c r="D27" s="180">
        <v>43.749999999999986</v>
      </c>
    </row>
    <row r="28" spans="1:4" x14ac:dyDescent="0.25">
      <c r="A28" s="126" t="s">
        <v>391</v>
      </c>
      <c r="B28" s="126">
        <v>1</v>
      </c>
      <c r="C28" s="181">
        <f t="shared" si="1"/>
        <v>4</v>
      </c>
      <c r="D28" s="180">
        <v>140</v>
      </c>
    </row>
    <row r="29" spans="1:4" x14ac:dyDescent="0.25">
      <c r="A29" s="126" t="s">
        <v>392</v>
      </c>
      <c r="B29" s="126">
        <v>1</v>
      </c>
      <c r="C29" s="181">
        <f t="shared" si="1"/>
        <v>1.0000000000000004</v>
      </c>
      <c r="D29" s="180">
        <v>35.000000000000014</v>
      </c>
    </row>
    <row r="30" spans="1:4" x14ac:dyDescent="0.25">
      <c r="A30" s="126" t="s">
        <v>393</v>
      </c>
      <c r="B30" s="126">
        <v>1</v>
      </c>
      <c r="C30" s="181">
        <f t="shared" si="1"/>
        <v>1.0000000000000004</v>
      </c>
      <c r="D30" s="180">
        <v>35.000000000000014</v>
      </c>
    </row>
    <row r="31" spans="1:4" x14ac:dyDescent="0.25">
      <c r="A31" s="126" t="s">
        <v>396</v>
      </c>
      <c r="B31" s="126">
        <v>3</v>
      </c>
      <c r="C31" s="181">
        <f t="shared" si="1"/>
        <v>11.999999999999996</v>
      </c>
      <c r="D31" s="180">
        <v>419.99999999999989</v>
      </c>
    </row>
    <row r="32" spans="1:4" x14ac:dyDescent="0.25">
      <c r="A32" s="126" t="s">
        <v>397</v>
      </c>
      <c r="B32" s="126">
        <v>2</v>
      </c>
      <c r="C32" s="181">
        <f t="shared" si="1"/>
        <v>2.0000000000000009</v>
      </c>
      <c r="D32" s="180">
        <v>70.000000000000028</v>
      </c>
    </row>
    <row r="33" spans="1:4" x14ac:dyDescent="0.25">
      <c r="A33" s="126" t="s">
        <v>398</v>
      </c>
      <c r="B33" s="126">
        <v>2</v>
      </c>
      <c r="C33" s="181">
        <f t="shared" si="1"/>
        <v>2.5000000000000018</v>
      </c>
      <c r="D33" s="180">
        <v>87.500000000000057</v>
      </c>
    </row>
    <row r="34" spans="1:4" x14ac:dyDescent="0.25">
      <c r="A34" s="134" t="s">
        <v>169</v>
      </c>
      <c r="B34" s="134">
        <v>65</v>
      </c>
      <c r="C34" s="146">
        <f t="shared" si="1"/>
        <v>280.35000002447441</v>
      </c>
      <c r="D34" s="146">
        <v>9812.2500008566039</v>
      </c>
    </row>
    <row r="35" spans="1:4" x14ac:dyDescent="0.25">
      <c r="A35" s="126" t="s">
        <v>383</v>
      </c>
      <c r="B35" s="126">
        <v>4</v>
      </c>
      <c r="C35" s="181">
        <f t="shared" si="1"/>
        <v>16.200000008218922</v>
      </c>
      <c r="D35" s="180">
        <v>567.00000028766226</v>
      </c>
    </row>
    <row r="36" spans="1:4" x14ac:dyDescent="0.25">
      <c r="A36" s="126" t="s">
        <v>384</v>
      </c>
      <c r="B36" s="126">
        <v>4</v>
      </c>
      <c r="C36" s="181">
        <f t="shared" si="1"/>
        <v>19.733333340846002</v>
      </c>
      <c r="D36" s="180">
        <v>690.66666692961007</v>
      </c>
    </row>
    <row r="37" spans="1:4" x14ac:dyDescent="0.25">
      <c r="A37" s="126" t="s">
        <v>385</v>
      </c>
      <c r="B37" s="126">
        <v>4</v>
      </c>
      <c r="C37" s="181">
        <f t="shared" si="1"/>
        <v>19.333333337446675</v>
      </c>
      <c r="D37" s="180">
        <v>676.66666681063361</v>
      </c>
    </row>
    <row r="38" spans="1:4" x14ac:dyDescent="0.25">
      <c r="A38" s="126" t="s">
        <v>386</v>
      </c>
      <c r="B38" s="126">
        <v>3</v>
      </c>
      <c r="C38" s="181">
        <f t="shared" si="1"/>
        <v>13.850000001490116</v>
      </c>
      <c r="D38" s="180">
        <v>484.75000005215406</v>
      </c>
    </row>
    <row r="39" spans="1:4" x14ac:dyDescent="0.25">
      <c r="A39" s="126" t="s">
        <v>387</v>
      </c>
      <c r="B39" s="126">
        <v>3</v>
      </c>
      <c r="C39" s="181">
        <f t="shared" si="1"/>
        <v>13.150000003399327</v>
      </c>
      <c r="D39" s="180">
        <v>460.25000011897646</v>
      </c>
    </row>
    <row r="40" spans="1:4" x14ac:dyDescent="0.25">
      <c r="A40" s="126" t="s">
        <v>388</v>
      </c>
      <c r="B40" s="126">
        <v>4</v>
      </c>
      <c r="C40" s="181">
        <f t="shared" si="1"/>
        <v>19.066666658734903</v>
      </c>
      <c r="D40" s="180">
        <v>667.3333330557216</v>
      </c>
    </row>
    <row r="41" spans="1:4" x14ac:dyDescent="0.25">
      <c r="A41" s="126" t="s">
        <v>389</v>
      </c>
      <c r="B41" s="126">
        <v>4</v>
      </c>
      <c r="C41" s="181">
        <f t="shared" si="1"/>
        <v>14.300000006274786</v>
      </c>
      <c r="D41" s="180">
        <v>500.5000002196175</v>
      </c>
    </row>
    <row r="42" spans="1:4" x14ac:dyDescent="0.25">
      <c r="A42" s="126" t="s">
        <v>390</v>
      </c>
      <c r="B42" s="126">
        <v>3</v>
      </c>
      <c r="C42" s="181">
        <f t="shared" si="1"/>
        <v>13.850000001490116</v>
      </c>
      <c r="D42" s="180">
        <v>484.75000005215406</v>
      </c>
    </row>
    <row r="43" spans="1:4" x14ac:dyDescent="0.25">
      <c r="A43" s="126" t="s">
        <v>391</v>
      </c>
      <c r="B43" s="126">
        <v>4</v>
      </c>
      <c r="C43" s="181">
        <f t="shared" si="1"/>
        <v>17.100000000849832</v>
      </c>
      <c r="D43" s="180">
        <v>598.50000002974411</v>
      </c>
    </row>
    <row r="44" spans="1:4" x14ac:dyDescent="0.25">
      <c r="A44" s="126" t="s">
        <v>392</v>
      </c>
      <c r="B44" s="126">
        <v>4</v>
      </c>
      <c r="C44" s="181">
        <f t="shared" si="1"/>
        <v>18.999999996740371</v>
      </c>
      <c r="D44" s="180">
        <v>664.99999988591298</v>
      </c>
    </row>
    <row r="45" spans="1:4" x14ac:dyDescent="0.25">
      <c r="A45" s="126" t="s">
        <v>393</v>
      </c>
      <c r="B45" s="126">
        <v>3</v>
      </c>
      <c r="C45" s="181">
        <f t="shared" si="1"/>
        <v>12.483333334753599</v>
      </c>
      <c r="D45" s="180">
        <v>436.91666671637597</v>
      </c>
    </row>
    <row r="46" spans="1:4" x14ac:dyDescent="0.25">
      <c r="A46" s="126" t="s">
        <v>394</v>
      </c>
      <c r="B46" s="126">
        <v>4</v>
      </c>
      <c r="C46" s="181">
        <f t="shared" si="1"/>
        <v>18.466666668653488</v>
      </c>
      <c r="D46" s="180">
        <v>646.33333340287209</v>
      </c>
    </row>
    <row r="47" spans="1:4" x14ac:dyDescent="0.25">
      <c r="A47" s="126" t="s">
        <v>395</v>
      </c>
      <c r="B47" s="126">
        <v>4</v>
      </c>
      <c r="C47" s="181">
        <f t="shared" si="1"/>
        <v>15.933333334047347</v>
      </c>
      <c r="D47" s="180">
        <v>557.66666669165716</v>
      </c>
    </row>
    <row r="48" spans="1:4" x14ac:dyDescent="0.25">
      <c r="A48" s="126" t="s">
        <v>396</v>
      </c>
      <c r="B48" s="126">
        <v>3</v>
      </c>
      <c r="C48" s="181">
        <f t="shared" si="1"/>
        <v>12.999999998195563</v>
      </c>
      <c r="D48" s="180">
        <v>454.99999993684469</v>
      </c>
    </row>
    <row r="49" spans="1:4" x14ac:dyDescent="0.25">
      <c r="A49" s="126" t="s">
        <v>397</v>
      </c>
      <c r="B49" s="126">
        <v>4</v>
      </c>
      <c r="C49" s="181">
        <f t="shared" si="1"/>
        <v>14.8</v>
      </c>
      <c r="D49" s="180">
        <v>518</v>
      </c>
    </row>
    <row r="50" spans="1:4" x14ac:dyDescent="0.25">
      <c r="A50" s="126" t="s">
        <v>398</v>
      </c>
      <c r="B50" s="126">
        <v>5</v>
      </c>
      <c r="C50" s="181">
        <f t="shared" si="1"/>
        <v>23.750000000000004</v>
      </c>
      <c r="D50" s="180">
        <v>831.25000000000011</v>
      </c>
    </row>
    <row r="51" spans="1:4" x14ac:dyDescent="0.25">
      <c r="A51" s="126" t="s">
        <v>399</v>
      </c>
      <c r="B51" s="126">
        <v>5</v>
      </c>
      <c r="C51" s="181">
        <f t="shared" si="1"/>
        <v>16.333333333333336</v>
      </c>
      <c r="D51" s="180">
        <v>571.66666666666674</v>
      </c>
    </row>
    <row r="52" spans="1:4" x14ac:dyDescent="0.25">
      <c r="A52" s="134" t="s">
        <v>400</v>
      </c>
      <c r="B52" s="134">
        <v>5</v>
      </c>
      <c r="C52" s="146">
        <f t="shared" si="1"/>
        <v>24.166666666666671</v>
      </c>
      <c r="D52" s="146">
        <v>845.83333333333348</v>
      </c>
    </row>
    <row r="53" spans="1:4" x14ac:dyDescent="0.25">
      <c r="A53" s="126" t="s">
        <v>388</v>
      </c>
      <c r="B53" s="126">
        <v>5</v>
      </c>
      <c r="C53" s="181">
        <f t="shared" si="1"/>
        <v>24.166666666666671</v>
      </c>
      <c r="D53" s="180">
        <v>845.83333333333348</v>
      </c>
    </row>
    <row r="54" spans="1:4" x14ac:dyDescent="0.25">
      <c r="A54" s="134" t="s">
        <v>241</v>
      </c>
      <c r="B54" s="134">
        <v>37</v>
      </c>
      <c r="C54" s="146">
        <f t="shared" si="1"/>
        <v>162.63333333333335</v>
      </c>
      <c r="D54" s="146">
        <v>5692.166666666667</v>
      </c>
    </row>
    <row r="55" spans="1:4" x14ac:dyDescent="0.25">
      <c r="A55" s="126" t="s">
        <v>388</v>
      </c>
      <c r="B55" s="126">
        <v>4</v>
      </c>
      <c r="C55" s="181">
        <f t="shared" si="1"/>
        <v>17.25</v>
      </c>
      <c r="D55" s="180">
        <v>603.75</v>
      </c>
    </row>
    <row r="56" spans="1:4" x14ac:dyDescent="0.25">
      <c r="A56" s="126" t="s">
        <v>389</v>
      </c>
      <c r="B56" s="126">
        <v>5</v>
      </c>
      <c r="C56" s="181">
        <f t="shared" si="1"/>
        <v>23.833333333333332</v>
      </c>
      <c r="D56" s="180">
        <v>834.16666666666663</v>
      </c>
    </row>
    <row r="57" spans="1:4" x14ac:dyDescent="0.25">
      <c r="A57" s="126" t="s">
        <v>390</v>
      </c>
      <c r="B57" s="126">
        <v>3</v>
      </c>
      <c r="C57" s="181">
        <f t="shared" si="1"/>
        <v>12.999999999999998</v>
      </c>
      <c r="D57" s="180">
        <v>454.99999999999994</v>
      </c>
    </row>
    <row r="58" spans="1:4" x14ac:dyDescent="0.25">
      <c r="A58" s="126" t="s">
        <v>391</v>
      </c>
      <c r="B58" s="126">
        <v>4</v>
      </c>
      <c r="C58" s="181">
        <f t="shared" si="1"/>
        <v>15.75</v>
      </c>
      <c r="D58" s="180">
        <v>551.25</v>
      </c>
    </row>
    <row r="59" spans="1:4" x14ac:dyDescent="0.25">
      <c r="A59" s="126" t="s">
        <v>392</v>
      </c>
      <c r="B59" s="126">
        <v>6</v>
      </c>
      <c r="C59" s="181">
        <f t="shared" si="1"/>
        <v>25.500000000000011</v>
      </c>
      <c r="D59" s="180">
        <v>892.50000000000034</v>
      </c>
    </row>
    <row r="60" spans="1:4" x14ac:dyDescent="0.25">
      <c r="A60" s="126" t="s">
        <v>393</v>
      </c>
      <c r="B60" s="126">
        <v>4</v>
      </c>
      <c r="C60" s="181">
        <f t="shared" si="1"/>
        <v>18.750000000000004</v>
      </c>
      <c r="D60" s="180">
        <v>656.25000000000011</v>
      </c>
    </row>
    <row r="61" spans="1:4" x14ac:dyDescent="0.25">
      <c r="A61" s="126" t="s">
        <v>394</v>
      </c>
      <c r="B61" s="126">
        <v>4</v>
      </c>
      <c r="C61" s="181">
        <f t="shared" si="1"/>
        <v>18.8</v>
      </c>
      <c r="D61" s="180">
        <v>658</v>
      </c>
    </row>
    <row r="62" spans="1:4" x14ac:dyDescent="0.25">
      <c r="A62" s="126" t="s">
        <v>395</v>
      </c>
      <c r="B62" s="126">
        <v>7</v>
      </c>
      <c r="C62" s="181">
        <f t="shared" si="1"/>
        <v>29.75</v>
      </c>
      <c r="D62" s="180">
        <v>1041.25</v>
      </c>
    </row>
    <row r="63" spans="1:4" x14ac:dyDescent="0.25">
      <c r="A63" s="166" t="s">
        <v>18</v>
      </c>
      <c r="B63" s="126">
        <v>9</v>
      </c>
      <c r="C63" s="181">
        <f t="shared" si="1"/>
        <v>40.333333333333336</v>
      </c>
      <c r="D63" s="180">
        <v>1411.6666666666667</v>
      </c>
    </row>
    <row r="64" spans="1:4" x14ac:dyDescent="0.25">
      <c r="A64" s="126" t="s">
        <v>397</v>
      </c>
      <c r="B64" s="126">
        <v>3</v>
      </c>
      <c r="C64" s="181">
        <f t="shared" si="1"/>
        <v>14.75</v>
      </c>
      <c r="D64" s="180">
        <v>516.25</v>
      </c>
    </row>
    <row r="65" spans="1:11" x14ac:dyDescent="0.25">
      <c r="A65" s="126" t="s">
        <v>398</v>
      </c>
      <c r="B65" s="126">
        <v>4</v>
      </c>
      <c r="C65" s="181">
        <f t="shared" si="1"/>
        <v>18.666666666666668</v>
      </c>
      <c r="D65" s="180">
        <v>653.33333333333337</v>
      </c>
    </row>
    <row r="66" spans="1:11" x14ac:dyDescent="0.25">
      <c r="A66" s="126" t="s">
        <v>399</v>
      </c>
      <c r="B66" s="126">
        <v>2</v>
      </c>
      <c r="C66" s="181">
        <f t="shared" si="1"/>
        <v>6.9166666666666661</v>
      </c>
      <c r="D66" s="180">
        <v>242.08333333333331</v>
      </c>
      <c r="G66" s="165" t="s">
        <v>419</v>
      </c>
      <c r="H66" s="165" t="s">
        <v>83</v>
      </c>
      <c r="I66" s="165" t="s">
        <v>75</v>
      </c>
      <c r="J66" s="165" t="s">
        <v>382</v>
      </c>
    </row>
    <row r="67" spans="1:11" x14ac:dyDescent="0.25">
      <c r="A67" s="134" t="s">
        <v>432</v>
      </c>
      <c r="B67" s="134">
        <v>41</v>
      </c>
      <c r="C67" s="146">
        <f t="shared" si="1"/>
        <v>109.75000000000006</v>
      </c>
      <c r="D67" s="146">
        <f>SUM(D68:D69)</f>
        <v>3841.2500000000018</v>
      </c>
      <c r="G67" s="134" t="s">
        <v>404</v>
      </c>
      <c r="H67" s="134">
        <v>7</v>
      </c>
      <c r="I67" s="146">
        <f t="shared" ref="I67:I68" si="2">J67/35</f>
        <v>30.916666666666664</v>
      </c>
      <c r="J67" s="146">
        <v>1082.0833333333333</v>
      </c>
    </row>
    <row r="68" spans="1:11" x14ac:dyDescent="0.25">
      <c r="A68" s="126" t="s">
        <v>397</v>
      </c>
      <c r="B68" s="126">
        <v>10</v>
      </c>
      <c r="C68" s="181">
        <f t="shared" si="1"/>
        <v>27.750000000000007</v>
      </c>
      <c r="D68" s="180">
        <v>971.25000000000023</v>
      </c>
      <c r="G68" s="126" t="s">
        <v>384</v>
      </c>
      <c r="H68" s="126">
        <v>7</v>
      </c>
      <c r="I68" s="181">
        <f t="shared" si="2"/>
        <v>30.916666666666664</v>
      </c>
      <c r="J68" s="180">
        <v>1082.0833333333333</v>
      </c>
    </row>
    <row r="69" spans="1:11" x14ac:dyDescent="0.25">
      <c r="A69" s="126" t="s">
        <v>397</v>
      </c>
      <c r="B69" s="126">
        <v>31</v>
      </c>
      <c r="C69" s="181">
        <f>D69/35</f>
        <v>82.000000000000057</v>
      </c>
      <c r="D69" s="180">
        <v>2870.0000000000018</v>
      </c>
      <c r="G69" s="126"/>
      <c r="H69" s="126"/>
      <c r="I69" s="181"/>
      <c r="J69" s="180"/>
      <c r="K69" s="192"/>
    </row>
    <row r="70" spans="1:11" x14ac:dyDescent="0.25">
      <c r="A70" s="126"/>
      <c r="B70" s="126"/>
      <c r="C70" s="181"/>
      <c r="D70" s="180"/>
      <c r="G70" s="126"/>
      <c r="H70" s="126"/>
      <c r="I70" s="181"/>
      <c r="J70" s="180"/>
      <c r="K70" s="192"/>
    </row>
    <row r="71" spans="1:11" x14ac:dyDescent="0.25">
      <c r="A71" s="134" t="s">
        <v>340</v>
      </c>
      <c r="B71" s="134">
        <v>8</v>
      </c>
      <c r="C71" s="146">
        <f t="shared" si="1"/>
        <v>32.000000005704351</v>
      </c>
      <c r="D71" s="146">
        <v>1120.0000001996523</v>
      </c>
      <c r="G71" s="126"/>
      <c r="H71" s="126"/>
      <c r="I71" s="181"/>
      <c r="J71" s="180"/>
    </row>
    <row r="72" spans="1:11" x14ac:dyDescent="0.25">
      <c r="A72" s="126" t="s">
        <v>383</v>
      </c>
      <c r="B72" s="126">
        <v>2</v>
      </c>
      <c r="C72" s="181">
        <f t="shared" si="1"/>
        <v>7.0000000024447218</v>
      </c>
      <c r="D72" s="180">
        <v>245.00000008556526</v>
      </c>
      <c r="G72" s="126"/>
      <c r="H72" s="126"/>
      <c r="I72" s="181"/>
      <c r="J72" s="180"/>
    </row>
    <row r="73" spans="1:11" x14ac:dyDescent="0.25">
      <c r="A73" s="126" t="s">
        <v>386</v>
      </c>
      <c r="B73" s="126">
        <v>2</v>
      </c>
      <c r="C73" s="181">
        <f t="shared" si="1"/>
        <v>9.500000003259629</v>
      </c>
      <c r="D73" s="180">
        <v>332.50000011408702</v>
      </c>
      <c r="G73" s="126"/>
      <c r="H73" s="126"/>
      <c r="I73" s="181"/>
      <c r="J73" s="180"/>
    </row>
    <row r="74" spans="1:11" x14ac:dyDescent="0.25">
      <c r="A74" s="126" t="s">
        <v>393</v>
      </c>
      <c r="B74" s="126">
        <v>2</v>
      </c>
      <c r="C74" s="181">
        <f t="shared" si="1"/>
        <v>7</v>
      </c>
      <c r="D74" s="180">
        <v>245</v>
      </c>
      <c r="G74" s="126"/>
      <c r="H74" s="126"/>
      <c r="I74" s="181"/>
      <c r="J74" s="180"/>
    </row>
    <row r="75" spans="1:11" x14ac:dyDescent="0.25">
      <c r="A75" s="126" t="s">
        <v>397</v>
      </c>
      <c r="B75" s="126">
        <v>2</v>
      </c>
      <c r="C75" s="181">
        <f t="shared" si="1"/>
        <v>8.5</v>
      </c>
      <c r="D75" s="180">
        <v>297.5</v>
      </c>
      <c r="G75" s="126"/>
      <c r="H75" s="126"/>
      <c r="I75" s="181"/>
      <c r="J75" s="180"/>
    </row>
    <row r="76" spans="1:11" x14ac:dyDescent="0.25">
      <c r="A76" s="134" t="s">
        <v>401</v>
      </c>
      <c r="B76" s="134">
        <v>90</v>
      </c>
      <c r="C76" s="146">
        <f t="shared" si="1"/>
        <v>373.38333333333333</v>
      </c>
      <c r="D76" s="146">
        <v>13068.416666666666</v>
      </c>
      <c r="G76" s="126"/>
      <c r="H76" s="126"/>
      <c r="I76" s="181"/>
      <c r="J76" s="180"/>
    </row>
    <row r="77" spans="1:11" x14ac:dyDescent="0.25">
      <c r="A77" s="126" t="s">
        <v>385</v>
      </c>
      <c r="B77" s="126">
        <v>8</v>
      </c>
      <c r="C77" s="181">
        <f t="shared" si="1"/>
        <v>34.583333333333343</v>
      </c>
      <c r="D77" s="180">
        <v>1210.416666666667</v>
      </c>
      <c r="G77" s="126"/>
      <c r="H77" s="126"/>
      <c r="I77" s="181"/>
      <c r="J77" s="180"/>
    </row>
    <row r="78" spans="1:11" x14ac:dyDescent="0.25">
      <c r="A78" s="126" t="s">
        <v>386</v>
      </c>
      <c r="B78" s="126">
        <v>7</v>
      </c>
      <c r="C78" s="181">
        <f t="shared" si="1"/>
        <v>29.75</v>
      </c>
      <c r="D78" s="180">
        <v>1041.25</v>
      </c>
      <c r="G78" s="126"/>
      <c r="H78" s="126"/>
      <c r="I78" s="181"/>
      <c r="J78" s="180"/>
    </row>
    <row r="79" spans="1:11" x14ac:dyDescent="0.25">
      <c r="A79" s="126" t="s">
        <v>387</v>
      </c>
      <c r="B79" s="126">
        <v>7</v>
      </c>
      <c r="C79" s="181">
        <f t="shared" si="1"/>
        <v>28</v>
      </c>
      <c r="D79" s="180">
        <v>980</v>
      </c>
      <c r="G79" s="126"/>
      <c r="H79" s="126"/>
      <c r="I79" s="181"/>
      <c r="J79" s="180"/>
    </row>
    <row r="80" spans="1:11" x14ac:dyDescent="0.25">
      <c r="A80" s="126" t="s">
        <v>389</v>
      </c>
      <c r="B80" s="126">
        <v>7</v>
      </c>
      <c r="C80" s="181">
        <f t="shared" si="1"/>
        <v>28.166666666666671</v>
      </c>
      <c r="D80" s="180">
        <v>985.83333333333348</v>
      </c>
      <c r="G80" s="126"/>
      <c r="H80" s="126"/>
      <c r="I80" s="181"/>
      <c r="J80" s="180"/>
    </row>
    <row r="81" spans="1:10" x14ac:dyDescent="0.25">
      <c r="A81" s="126" t="s">
        <v>390</v>
      </c>
      <c r="B81" s="126">
        <v>5</v>
      </c>
      <c r="C81" s="181">
        <f t="shared" si="1"/>
        <v>22.499999999999996</v>
      </c>
      <c r="D81" s="180">
        <v>787.49999999999989</v>
      </c>
      <c r="G81" s="126"/>
      <c r="H81" s="126"/>
      <c r="I81" s="181"/>
      <c r="J81" s="180"/>
    </row>
    <row r="82" spans="1:10" x14ac:dyDescent="0.25">
      <c r="A82" s="126" t="s">
        <v>391</v>
      </c>
      <c r="B82" s="126">
        <v>6</v>
      </c>
      <c r="C82" s="181">
        <f t="shared" si="1"/>
        <v>23.100000000000005</v>
      </c>
      <c r="D82" s="180">
        <v>808.50000000000011</v>
      </c>
      <c r="G82" s="126"/>
      <c r="H82" s="126"/>
      <c r="I82" s="181"/>
      <c r="J82" s="180"/>
    </row>
    <row r="83" spans="1:10" x14ac:dyDescent="0.25">
      <c r="A83" s="126" t="s">
        <v>392</v>
      </c>
      <c r="B83" s="126">
        <v>7</v>
      </c>
      <c r="C83" s="181">
        <f t="shared" si="1"/>
        <v>29.516666666666666</v>
      </c>
      <c r="D83" s="180">
        <v>1033.0833333333333</v>
      </c>
      <c r="G83" s="126"/>
      <c r="H83" s="126"/>
      <c r="I83" s="181"/>
      <c r="J83" s="180"/>
    </row>
    <row r="84" spans="1:10" x14ac:dyDescent="0.25">
      <c r="A84" s="126" t="s">
        <v>393</v>
      </c>
      <c r="B84" s="126">
        <v>7</v>
      </c>
      <c r="C84" s="181">
        <f t="shared" si="1"/>
        <v>30.683333333333341</v>
      </c>
      <c r="D84" s="180">
        <v>1073.916666666667</v>
      </c>
      <c r="G84" s="126"/>
      <c r="H84" s="126"/>
      <c r="I84" s="181"/>
      <c r="J84" s="180"/>
    </row>
    <row r="85" spans="1:10" x14ac:dyDescent="0.25">
      <c r="A85" s="126" t="s">
        <v>394</v>
      </c>
      <c r="B85" s="126">
        <v>7</v>
      </c>
      <c r="C85" s="181">
        <f t="shared" ref="C85:C146" si="3">D85/35</f>
        <v>29.100000000000009</v>
      </c>
      <c r="D85" s="180">
        <v>1018.5000000000003</v>
      </c>
    </row>
    <row r="86" spans="1:10" x14ac:dyDescent="0.25">
      <c r="A86" s="126" t="s">
        <v>395</v>
      </c>
      <c r="B86" s="126">
        <v>7</v>
      </c>
      <c r="C86" s="181">
        <f t="shared" si="3"/>
        <v>26.250000000000007</v>
      </c>
      <c r="D86" s="180">
        <v>918.75000000000023</v>
      </c>
    </row>
    <row r="87" spans="1:10" x14ac:dyDescent="0.25">
      <c r="A87" s="126" t="s">
        <v>396</v>
      </c>
      <c r="B87" s="126">
        <v>6</v>
      </c>
      <c r="C87" s="181">
        <f t="shared" si="3"/>
        <v>26.000000000000011</v>
      </c>
      <c r="D87" s="180">
        <v>910.00000000000034</v>
      </c>
    </row>
    <row r="88" spans="1:10" x14ac:dyDescent="0.25">
      <c r="A88" s="126" t="s">
        <v>397</v>
      </c>
      <c r="B88" s="126">
        <v>6</v>
      </c>
      <c r="C88" s="181">
        <f t="shared" si="3"/>
        <v>26.20000000000001</v>
      </c>
      <c r="D88" s="180">
        <v>917.00000000000034</v>
      </c>
    </row>
    <row r="89" spans="1:10" x14ac:dyDescent="0.25">
      <c r="A89" s="126" t="s">
        <v>398</v>
      </c>
      <c r="B89" s="126">
        <v>6</v>
      </c>
      <c r="C89" s="181">
        <f t="shared" si="3"/>
        <v>26.20000000000001</v>
      </c>
      <c r="D89" s="180">
        <v>917.00000000000034</v>
      </c>
    </row>
    <row r="90" spans="1:10" x14ac:dyDescent="0.25">
      <c r="A90" s="126" t="s">
        <v>399</v>
      </c>
      <c r="B90" s="126">
        <v>4</v>
      </c>
      <c r="C90" s="181">
        <f t="shared" si="3"/>
        <v>13.333333333333336</v>
      </c>
      <c r="D90" s="180">
        <v>466.66666666666674</v>
      </c>
    </row>
    <row r="91" spans="1:10" x14ac:dyDescent="0.25">
      <c r="A91" s="134" t="s">
        <v>175</v>
      </c>
      <c r="B91" s="134">
        <v>4</v>
      </c>
      <c r="C91" s="146">
        <f t="shared" si="3"/>
        <v>13</v>
      </c>
      <c r="D91" s="146">
        <v>455</v>
      </c>
    </row>
    <row r="92" spans="1:10" x14ac:dyDescent="0.25">
      <c r="A92" s="126" t="s">
        <v>383</v>
      </c>
      <c r="B92" s="126">
        <v>4</v>
      </c>
      <c r="C92" s="181">
        <f t="shared" si="3"/>
        <v>13</v>
      </c>
      <c r="D92" s="180">
        <v>455</v>
      </c>
    </row>
    <row r="93" spans="1:10" x14ac:dyDescent="0.25">
      <c r="A93" s="134" t="s">
        <v>170</v>
      </c>
      <c r="B93" s="134">
        <v>2</v>
      </c>
      <c r="C93" s="146">
        <f t="shared" si="3"/>
        <v>9.4999999983701855</v>
      </c>
      <c r="D93" s="146">
        <v>332.49999994295649</v>
      </c>
    </row>
    <row r="94" spans="1:10" x14ac:dyDescent="0.25">
      <c r="A94" s="126" t="s">
        <v>385</v>
      </c>
      <c r="B94" s="126">
        <v>2</v>
      </c>
      <c r="C94" s="181">
        <f t="shared" si="3"/>
        <v>9.4999999983701855</v>
      </c>
      <c r="D94" s="180">
        <v>332.49999994295649</v>
      </c>
    </row>
    <row r="95" spans="1:10" x14ac:dyDescent="0.25">
      <c r="A95" s="183" t="s">
        <v>171</v>
      </c>
      <c r="B95" s="134">
        <v>120</v>
      </c>
      <c r="C95" s="146">
        <f t="shared" si="3"/>
        <v>532.66666666740798</v>
      </c>
      <c r="D95" s="146">
        <v>18643.333333359278</v>
      </c>
    </row>
    <row r="96" spans="1:10" x14ac:dyDescent="0.25">
      <c r="A96" s="126" t="s">
        <v>383</v>
      </c>
      <c r="B96" s="126">
        <v>8</v>
      </c>
      <c r="C96" s="181">
        <f t="shared" si="3"/>
        <v>32.000000003608875</v>
      </c>
      <c r="D96" s="180">
        <v>1120.0000001263106</v>
      </c>
    </row>
    <row r="97" spans="1:4" x14ac:dyDescent="0.25">
      <c r="A97" s="126" t="s">
        <v>384</v>
      </c>
      <c r="B97" s="126">
        <v>8</v>
      </c>
      <c r="C97" s="181">
        <f t="shared" si="3"/>
        <v>36.816666670958512</v>
      </c>
      <c r="D97" s="180">
        <v>1288.5833334835479</v>
      </c>
    </row>
    <row r="98" spans="1:4" x14ac:dyDescent="0.25">
      <c r="A98" s="126" t="s">
        <v>385</v>
      </c>
      <c r="B98" s="126">
        <v>8</v>
      </c>
      <c r="C98" s="181">
        <f t="shared" si="3"/>
        <v>36.933333337306976</v>
      </c>
      <c r="D98" s="180">
        <v>1292.6666668057442</v>
      </c>
    </row>
    <row r="99" spans="1:4" x14ac:dyDescent="0.25">
      <c r="A99" s="126" t="s">
        <v>386</v>
      </c>
      <c r="B99" s="126">
        <v>7</v>
      </c>
      <c r="C99" s="181">
        <f t="shared" si="3"/>
        <v>32.083333333333343</v>
      </c>
      <c r="D99" s="180">
        <v>1122.916666666667</v>
      </c>
    </row>
    <row r="100" spans="1:4" x14ac:dyDescent="0.25">
      <c r="A100" s="126" t="s">
        <v>387</v>
      </c>
      <c r="B100" s="126">
        <v>9</v>
      </c>
      <c r="C100" s="181">
        <f t="shared" si="3"/>
        <v>40.79999999999999</v>
      </c>
      <c r="D100" s="180">
        <v>1427.9999999999998</v>
      </c>
    </row>
    <row r="101" spans="1:4" x14ac:dyDescent="0.25">
      <c r="A101" s="126" t="s">
        <v>388</v>
      </c>
      <c r="B101" s="126">
        <v>7</v>
      </c>
      <c r="C101" s="181">
        <f t="shared" si="3"/>
        <v>30.000000001280569</v>
      </c>
      <c r="D101" s="180">
        <v>1050.0000000448199</v>
      </c>
    </row>
    <row r="102" spans="1:4" x14ac:dyDescent="0.25">
      <c r="A102" s="126" t="s">
        <v>389</v>
      </c>
      <c r="B102" s="126">
        <v>9</v>
      </c>
      <c r="C102" s="181">
        <f t="shared" si="3"/>
        <v>41.783333324547854</v>
      </c>
      <c r="D102" s="180">
        <v>1462.416666359175</v>
      </c>
    </row>
    <row r="103" spans="1:4" x14ac:dyDescent="0.25">
      <c r="A103" s="126" t="s">
        <v>390</v>
      </c>
      <c r="B103" s="126">
        <v>9</v>
      </c>
      <c r="C103" s="181">
        <f t="shared" si="3"/>
        <v>41.666666666666679</v>
      </c>
      <c r="D103" s="180">
        <v>1458.3333333333337</v>
      </c>
    </row>
    <row r="104" spans="1:4" x14ac:dyDescent="0.25">
      <c r="A104" s="126" t="s">
        <v>391</v>
      </c>
      <c r="B104" s="126">
        <v>7</v>
      </c>
      <c r="C104" s="181">
        <f t="shared" si="3"/>
        <v>28.500000000000004</v>
      </c>
      <c r="D104" s="180">
        <v>997.50000000000011</v>
      </c>
    </row>
    <row r="105" spans="1:4" x14ac:dyDescent="0.25">
      <c r="A105" s="126" t="s">
        <v>392</v>
      </c>
      <c r="B105" s="126">
        <v>8</v>
      </c>
      <c r="C105" s="181">
        <f t="shared" si="3"/>
        <v>35.149999991175719</v>
      </c>
      <c r="D105" s="180">
        <v>1230.2499996911502</v>
      </c>
    </row>
    <row r="106" spans="1:4" x14ac:dyDescent="0.25">
      <c r="A106" s="126" t="s">
        <v>393</v>
      </c>
      <c r="B106" s="126">
        <v>6</v>
      </c>
      <c r="C106" s="181">
        <f t="shared" si="3"/>
        <v>27.599999995320104</v>
      </c>
      <c r="D106" s="180">
        <v>965.99999983620364</v>
      </c>
    </row>
    <row r="107" spans="1:4" x14ac:dyDescent="0.25">
      <c r="A107" s="126" t="s">
        <v>394</v>
      </c>
      <c r="B107" s="126">
        <v>8</v>
      </c>
      <c r="C107" s="181">
        <f t="shared" si="3"/>
        <v>36.000000006519258</v>
      </c>
      <c r="D107" s="180">
        <v>1260.000000228174</v>
      </c>
    </row>
    <row r="108" spans="1:4" x14ac:dyDescent="0.25">
      <c r="A108" s="126" t="s">
        <v>395</v>
      </c>
      <c r="B108" s="126">
        <v>7</v>
      </c>
      <c r="C108" s="181">
        <f t="shared" si="3"/>
        <v>30.833333336689975</v>
      </c>
      <c r="D108" s="180">
        <v>1079.1666667841491</v>
      </c>
    </row>
    <row r="109" spans="1:4" x14ac:dyDescent="0.25">
      <c r="A109" s="126" t="s">
        <v>396</v>
      </c>
      <c r="B109" s="126">
        <v>8</v>
      </c>
      <c r="C109" s="181">
        <f t="shared" si="3"/>
        <v>34.083333333333329</v>
      </c>
      <c r="D109" s="180">
        <v>1192.9166666666665</v>
      </c>
    </row>
    <row r="110" spans="1:4" x14ac:dyDescent="0.25">
      <c r="A110" s="126" t="s">
        <v>397</v>
      </c>
      <c r="B110" s="126">
        <v>3</v>
      </c>
      <c r="C110" s="181">
        <f t="shared" si="3"/>
        <v>13.083333333333332</v>
      </c>
      <c r="D110" s="180">
        <v>457.91666666666663</v>
      </c>
    </row>
    <row r="111" spans="1:4" x14ac:dyDescent="0.25">
      <c r="A111" s="126" t="s">
        <v>398</v>
      </c>
      <c r="B111" s="126">
        <v>4</v>
      </c>
      <c r="C111" s="181">
        <f t="shared" si="3"/>
        <v>19.333333333333336</v>
      </c>
      <c r="D111" s="180">
        <v>676.66666666666674</v>
      </c>
    </row>
    <row r="112" spans="1:4" x14ac:dyDescent="0.25">
      <c r="A112" s="126" t="s">
        <v>399</v>
      </c>
      <c r="B112" s="126">
        <v>4</v>
      </c>
      <c r="C112" s="181">
        <f t="shared" si="3"/>
        <v>16.000000000000004</v>
      </c>
      <c r="D112" s="180">
        <v>560.00000000000011</v>
      </c>
    </row>
    <row r="113" spans="1:5" x14ac:dyDescent="0.25">
      <c r="A113" s="134" t="s">
        <v>402</v>
      </c>
      <c r="B113" s="134">
        <v>17</v>
      </c>
      <c r="C113" s="146">
        <f t="shared" si="3"/>
        <v>68.500000000000014</v>
      </c>
      <c r="D113" s="146">
        <v>2397.5000000000005</v>
      </c>
    </row>
    <row r="114" spans="1:5" x14ac:dyDescent="0.25">
      <c r="A114" s="126" t="s">
        <v>392</v>
      </c>
      <c r="B114" s="126">
        <v>4</v>
      </c>
      <c r="C114" s="181">
        <f t="shared" si="3"/>
        <v>19.000000000000004</v>
      </c>
      <c r="D114" s="180">
        <v>665.00000000000011</v>
      </c>
    </row>
    <row r="115" spans="1:5" x14ac:dyDescent="0.25">
      <c r="A115" s="126" t="s">
        <v>393</v>
      </c>
      <c r="B115" s="126">
        <v>3</v>
      </c>
      <c r="C115" s="181">
        <f t="shared" si="3"/>
        <v>13.500000000000004</v>
      </c>
      <c r="D115" s="180">
        <v>472.50000000000011</v>
      </c>
    </row>
    <row r="116" spans="1:5" x14ac:dyDescent="0.25">
      <c r="A116" s="126" t="s">
        <v>395</v>
      </c>
      <c r="B116" s="126">
        <v>4</v>
      </c>
      <c r="C116" s="181">
        <f t="shared" si="3"/>
        <v>19.000000000000004</v>
      </c>
      <c r="D116" s="180">
        <v>665.00000000000011</v>
      </c>
    </row>
    <row r="117" spans="1:5" x14ac:dyDescent="0.25">
      <c r="A117" s="126" t="s">
        <v>396</v>
      </c>
      <c r="B117" s="126">
        <v>6</v>
      </c>
      <c r="C117" s="181">
        <f t="shared" si="3"/>
        <v>17</v>
      </c>
      <c r="D117" s="180">
        <v>595</v>
      </c>
    </row>
    <row r="118" spans="1:5" x14ac:dyDescent="0.25">
      <c r="A118" s="183" t="s">
        <v>403</v>
      </c>
      <c r="B118" s="134">
        <v>214</v>
      </c>
      <c r="C118" s="146">
        <f t="shared" si="3"/>
        <v>915.85000000000014</v>
      </c>
      <c r="D118" s="146">
        <v>32054.750000000004</v>
      </c>
      <c r="E118" s="211" t="s">
        <v>58</v>
      </c>
    </row>
    <row r="119" spans="1:5" x14ac:dyDescent="0.25">
      <c r="A119" s="126" t="s">
        <v>383</v>
      </c>
      <c r="B119" s="126">
        <v>9</v>
      </c>
      <c r="C119" s="181">
        <f t="shared" si="3"/>
        <v>37.999999999999993</v>
      </c>
      <c r="D119" s="180">
        <v>1329.9999999999998</v>
      </c>
      <c r="E119" s="212"/>
    </row>
    <row r="120" spans="1:5" x14ac:dyDescent="0.25">
      <c r="A120" s="126" t="s">
        <v>384</v>
      </c>
      <c r="B120" s="126">
        <v>17</v>
      </c>
      <c r="C120" s="181">
        <f t="shared" si="3"/>
        <v>74.349999999999994</v>
      </c>
      <c r="D120" s="180">
        <v>2602.25</v>
      </c>
      <c r="E120" s="212"/>
    </row>
    <row r="121" spans="1:5" x14ac:dyDescent="0.25">
      <c r="A121" s="126" t="s">
        <v>385</v>
      </c>
      <c r="B121" s="126">
        <v>16</v>
      </c>
      <c r="C121" s="181">
        <f t="shared" si="3"/>
        <v>67.833333333333314</v>
      </c>
      <c r="D121" s="180">
        <v>2374.1666666666661</v>
      </c>
      <c r="E121" s="212"/>
    </row>
    <row r="122" spans="1:5" x14ac:dyDescent="0.25">
      <c r="A122" s="126" t="s">
        <v>386</v>
      </c>
      <c r="B122" s="126">
        <v>7</v>
      </c>
      <c r="C122" s="181">
        <f t="shared" si="3"/>
        <v>28.999999999999993</v>
      </c>
      <c r="D122" s="180">
        <v>1014.9999999999998</v>
      </c>
      <c r="E122" s="212"/>
    </row>
    <row r="123" spans="1:5" x14ac:dyDescent="0.25">
      <c r="A123" s="126" t="s">
        <v>387</v>
      </c>
      <c r="B123" s="126">
        <v>8</v>
      </c>
      <c r="C123" s="181">
        <f t="shared" si="3"/>
        <v>35.916666666666671</v>
      </c>
      <c r="D123" s="180">
        <v>1257.0833333333335</v>
      </c>
      <c r="E123" s="212"/>
    </row>
    <row r="124" spans="1:5" x14ac:dyDescent="0.25">
      <c r="A124" s="126" t="s">
        <v>388</v>
      </c>
      <c r="B124" s="126">
        <v>7</v>
      </c>
      <c r="C124" s="181">
        <f t="shared" si="3"/>
        <v>30.250000000000007</v>
      </c>
      <c r="D124" s="180">
        <v>1058.7500000000002</v>
      </c>
      <c r="E124" s="212"/>
    </row>
    <row r="125" spans="1:5" x14ac:dyDescent="0.25">
      <c r="A125" s="126" t="s">
        <v>389</v>
      </c>
      <c r="B125" s="126">
        <v>15</v>
      </c>
      <c r="C125" s="181">
        <f t="shared" si="3"/>
        <v>64.25</v>
      </c>
      <c r="D125" s="180">
        <v>2248.75</v>
      </c>
      <c r="E125" s="212"/>
    </row>
    <row r="126" spans="1:5" x14ac:dyDescent="0.25">
      <c r="A126" s="126" t="s">
        <v>390</v>
      </c>
      <c r="B126" s="126">
        <v>9</v>
      </c>
      <c r="C126" s="181">
        <f t="shared" si="3"/>
        <v>39.749999999999993</v>
      </c>
      <c r="D126" s="180">
        <v>1391.2499999999998</v>
      </c>
      <c r="E126" s="212"/>
    </row>
    <row r="127" spans="1:5" x14ac:dyDescent="0.25">
      <c r="A127" s="126" t="s">
        <v>391</v>
      </c>
      <c r="B127" s="126">
        <v>8</v>
      </c>
      <c r="C127" s="181">
        <f t="shared" si="3"/>
        <v>40.000000000000007</v>
      </c>
      <c r="D127" s="180">
        <v>1400.0000000000002</v>
      </c>
      <c r="E127" s="212"/>
    </row>
    <row r="128" spans="1:5" x14ac:dyDescent="0.25">
      <c r="A128" s="126" t="s">
        <v>392</v>
      </c>
      <c r="B128" s="126">
        <v>15</v>
      </c>
      <c r="C128" s="181">
        <f t="shared" si="3"/>
        <v>64.5</v>
      </c>
      <c r="D128" s="180">
        <v>2257.5</v>
      </c>
      <c r="E128" s="212"/>
    </row>
    <row r="129" spans="1:5" x14ac:dyDescent="0.25">
      <c r="A129" s="126" t="s">
        <v>393</v>
      </c>
      <c r="B129" s="126">
        <v>14</v>
      </c>
      <c r="C129" s="181">
        <f t="shared" si="3"/>
        <v>61.666666666666671</v>
      </c>
      <c r="D129" s="180">
        <v>2158.3333333333335</v>
      </c>
      <c r="E129" s="212"/>
    </row>
    <row r="130" spans="1:5" x14ac:dyDescent="0.25">
      <c r="A130" s="126" t="s">
        <v>394</v>
      </c>
      <c r="B130" s="126">
        <v>17</v>
      </c>
      <c r="C130" s="181">
        <f t="shared" si="3"/>
        <v>73.583333333333343</v>
      </c>
      <c r="D130" s="180">
        <v>2575.416666666667</v>
      </c>
      <c r="E130" s="212"/>
    </row>
    <row r="131" spans="1:5" x14ac:dyDescent="0.25">
      <c r="A131" s="126" t="s">
        <v>395</v>
      </c>
      <c r="B131" s="126">
        <v>16</v>
      </c>
      <c r="C131" s="181">
        <f t="shared" si="3"/>
        <v>68.666666666666686</v>
      </c>
      <c r="D131" s="180">
        <v>2403.3333333333339</v>
      </c>
      <c r="E131" s="212"/>
    </row>
    <row r="132" spans="1:5" x14ac:dyDescent="0.25">
      <c r="A132" s="126" t="s">
        <v>396</v>
      </c>
      <c r="B132" s="126">
        <v>16</v>
      </c>
      <c r="C132" s="181">
        <f t="shared" si="3"/>
        <v>63</v>
      </c>
      <c r="D132" s="180">
        <v>2205</v>
      </c>
      <c r="E132" s="212"/>
    </row>
    <row r="133" spans="1:5" x14ac:dyDescent="0.25">
      <c r="A133" s="126" t="s">
        <v>397</v>
      </c>
      <c r="B133" s="126">
        <v>13</v>
      </c>
      <c r="C133" s="181">
        <f t="shared" si="3"/>
        <v>55.75</v>
      </c>
      <c r="D133" s="180">
        <v>1951.25</v>
      </c>
      <c r="E133" s="212"/>
    </row>
    <row r="134" spans="1:5" x14ac:dyDescent="0.25">
      <c r="A134" s="126" t="s">
        <v>398</v>
      </c>
      <c r="B134" s="126">
        <v>15</v>
      </c>
      <c r="C134" s="181">
        <f t="shared" si="3"/>
        <v>63.75</v>
      </c>
      <c r="D134" s="180">
        <v>2231.25</v>
      </c>
      <c r="E134" s="212"/>
    </row>
    <row r="135" spans="1:5" x14ac:dyDescent="0.25">
      <c r="A135" s="126" t="s">
        <v>399</v>
      </c>
      <c r="B135" s="126">
        <v>12</v>
      </c>
      <c r="C135" s="181">
        <f t="shared" si="3"/>
        <v>45.583333333333343</v>
      </c>
      <c r="D135" s="180">
        <v>1595.416666666667</v>
      </c>
      <c r="E135" s="213"/>
    </row>
    <row r="136" spans="1:5" x14ac:dyDescent="0.25">
      <c r="A136" s="134" t="s">
        <v>404</v>
      </c>
      <c r="B136" s="134">
        <v>7</v>
      </c>
      <c r="C136" s="146">
        <f t="shared" si="3"/>
        <v>30.916666666666664</v>
      </c>
      <c r="D136" s="146">
        <v>1082.0833333333333</v>
      </c>
    </row>
    <row r="137" spans="1:5" x14ac:dyDescent="0.25">
      <c r="A137" s="126" t="s">
        <v>384</v>
      </c>
      <c r="B137" s="126">
        <v>7</v>
      </c>
      <c r="C137" s="181">
        <f t="shared" si="3"/>
        <v>30.916666666666664</v>
      </c>
      <c r="D137" s="180">
        <v>1082.0833333333333</v>
      </c>
    </row>
    <row r="138" spans="1:5" x14ac:dyDescent="0.25">
      <c r="A138" s="183" t="s">
        <v>177</v>
      </c>
      <c r="B138" s="134">
        <v>23</v>
      </c>
      <c r="C138" s="146">
        <f t="shared" si="3"/>
        <v>103.33333333634073</v>
      </c>
      <c r="D138" s="146">
        <v>3616.6666667719255</v>
      </c>
    </row>
    <row r="139" spans="1:5" x14ac:dyDescent="0.25">
      <c r="A139" s="126" t="s">
        <v>383</v>
      </c>
      <c r="B139" s="126">
        <v>5</v>
      </c>
      <c r="C139" s="181">
        <f t="shared" si="3"/>
        <v>20.833333336340729</v>
      </c>
      <c r="D139" s="180">
        <v>729.16666677192552</v>
      </c>
    </row>
    <row r="140" spans="1:5" x14ac:dyDescent="0.25">
      <c r="A140" s="126" t="s">
        <v>397</v>
      </c>
      <c r="B140" s="126">
        <v>6</v>
      </c>
      <c r="C140" s="181">
        <f t="shared" si="3"/>
        <v>29.5</v>
      </c>
      <c r="D140" s="180">
        <v>1032.5</v>
      </c>
    </row>
    <row r="141" spans="1:5" x14ac:dyDescent="0.25">
      <c r="A141" s="126" t="s">
        <v>398</v>
      </c>
      <c r="B141" s="126">
        <v>5</v>
      </c>
      <c r="C141" s="181">
        <f t="shared" si="3"/>
        <v>23.750000000000004</v>
      </c>
      <c r="D141" s="180">
        <v>831.25000000000011</v>
      </c>
    </row>
    <row r="142" spans="1:5" x14ac:dyDescent="0.25">
      <c r="A142" s="126" t="s">
        <v>399</v>
      </c>
      <c r="B142" s="126">
        <v>7</v>
      </c>
      <c r="C142" s="181">
        <f t="shared" si="3"/>
        <v>29.250000000000007</v>
      </c>
      <c r="D142" s="180">
        <v>1023.7500000000002</v>
      </c>
    </row>
    <row r="143" spans="1:5" x14ac:dyDescent="0.25">
      <c r="A143" s="166" t="s">
        <v>405</v>
      </c>
      <c r="B143" s="166">
        <v>13</v>
      </c>
      <c r="C143" s="146">
        <f t="shared" si="3"/>
        <v>45.5</v>
      </c>
      <c r="D143" s="182">
        <v>1592.5</v>
      </c>
    </row>
    <row r="144" spans="1:5" x14ac:dyDescent="0.25">
      <c r="A144" s="126" t="s">
        <v>398</v>
      </c>
      <c r="B144" s="126">
        <v>8</v>
      </c>
      <c r="C144" s="181">
        <f t="shared" si="3"/>
        <v>33.333333333333336</v>
      </c>
      <c r="D144" s="180">
        <v>1166.6666666666667</v>
      </c>
    </row>
    <row r="145" spans="1:4" x14ac:dyDescent="0.25">
      <c r="A145" s="126" t="s">
        <v>399</v>
      </c>
      <c r="B145" s="126">
        <v>5</v>
      </c>
      <c r="C145" s="181">
        <f t="shared" si="3"/>
        <v>12.166666666666668</v>
      </c>
      <c r="D145" s="180">
        <v>425.83333333333337</v>
      </c>
    </row>
    <row r="146" spans="1:4" x14ac:dyDescent="0.25">
      <c r="A146" s="134" t="s">
        <v>172</v>
      </c>
      <c r="B146" s="134">
        <v>86</v>
      </c>
      <c r="C146" s="146">
        <f t="shared" si="3"/>
        <v>361.11666668461402</v>
      </c>
      <c r="D146" s="146">
        <v>12639.083333961491</v>
      </c>
    </row>
    <row r="147" spans="1:4" x14ac:dyDescent="0.25">
      <c r="A147" s="126" t="s">
        <v>383</v>
      </c>
      <c r="B147" s="126">
        <v>7</v>
      </c>
      <c r="C147" s="181">
        <f t="shared" ref="C147:C163" si="4">D147/35</f>
        <v>25.666666676581372</v>
      </c>
      <c r="D147" s="180">
        <v>898.33333368034801</v>
      </c>
    </row>
    <row r="148" spans="1:4" x14ac:dyDescent="0.25">
      <c r="A148" s="126" t="s">
        <v>384</v>
      </c>
      <c r="B148" s="126">
        <v>7</v>
      </c>
      <c r="C148" s="181">
        <f t="shared" si="4"/>
        <v>30.4166666669189</v>
      </c>
      <c r="D148" s="180">
        <v>1064.5833333421615</v>
      </c>
    </row>
    <row r="149" spans="1:4" x14ac:dyDescent="0.25">
      <c r="A149" s="126" t="s">
        <v>385</v>
      </c>
      <c r="B149" s="126">
        <v>5</v>
      </c>
      <c r="C149" s="181">
        <f t="shared" si="4"/>
        <v>16.500000000814907</v>
      </c>
      <c r="D149" s="180">
        <v>577.50000002852175</v>
      </c>
    </row>
    <row r="150" spans="1:4" x14ac:dyDescent="0.25">
      <c r="A150" s="126" t="s">
        <v>386</v>
      </c>
      <c r="B150" s="126">
        <v>5</v>
      </c>
      <c r="C150" s="181">
        <f t="shared" si="4"/>
        <v>20.166666666666671</v>
      </c>
      <c r="D150" s="180">
        <v>705.83333333333348</v>
      </c>
    </row>
    <row r="151" spans="1:4" x14ac:dyDescent="0.25">
      <c r="A151" s="126" t="s">
        <v>387</v>
      </c>
      <c r="B151" s="126">
        <v>5</v>
      </c>
      <c r="C151" s="181">
        <f t="shared" si="4"/>
        <v>21.616666666666664</v>
      </c>
      <c r="D151" s="180">
        <v>756.58333333333326</v>
      </c>
    </row>
    <row r="152" spans="1:4" x14ac:dyDescent="0.25">
      <c r="A152" s="126" t="s">
        <v>388</v>
      </c>
      <c r="B152" s="126">
        <v>5</v>
      </c>
      <c r="C152" s="181">
        <f t="shared" si="4"/>
        <v>21.25</v>
      </c>
      <c r="D152" s="180">
        <v>743.75</v>
      </c>
    </row>
    <row r="153" spans="1:4" x14ac:dyDescent="0.25">
      <c r="A153" s="126" t="s">
        <v>389</v>
      </c>
      <c r="B153" s="126">
        <v>6</v>
      </c>
      <c r="C153" s="181">
        <f t="shared" si="4"/>
        <v>27.666666667093523</v>
      </c>
      <c r="D153" s="180">
        <v>968.3333333482733</v>
      </c>
    </row>
    <row r="154" spans="1:4" x14ac:dyDescent="0.25">
      <c r="A154" s="126" t="s">
        <v>390</v>
      </c>
      <c r="B154" s="126">
        <v>4</v>
      </c>
      <c r="C154" s="181">
        <f t="shared" si="4"/>
        <v>15.58333333680639</v>
      </c>
      <c r="D154" s="180">
        <v>545.41666678822367</v>
      </c>
    </row>
    <row r="155" spans="1:4" x14ac:dyDescent="0.25">
      <c r="A155" s="126" t="s">
        <v>391</v>
      </c>
      <c r="B155" s="126">
        <v>5</v>
      </c>
      <c r="C155" s="181">
        <f t="shared" si="4"/>
        <v>20.416666659584735</v>
      </c>
      <c r="D155" s="180">
        <v>714.58333308546571</v>
      </c>
    </row>
    <row r="156" spans="1:4" x14ac:dyDescent="0.25">
      <c r="A156" s="126" t="s">
        <v>392</v>
      </c>
      <c r="B156" s="126">
        <v>5</v>
      </c>
      <c r="C156" s="181">
        <f t="shared" si="4"/>
        <v>22.416666668548714</v>
      </c>
      <c r="D156" s="180">
        <v>784.583333399205</v>
      </c>
    </row>
    <row r="157" spans="1:4" x14ac:dyDescent="0.25">
      <c r="A157" s="126" t="s">
        <v>393</v>
      </c>
      <c r="B157" s="126">
        <v>4</v>
      </c>
      <c r="C157" s="181">
        <f t="shared" si="4"/>
        <v>17.333333333372138</v>
      </c>
      <c r="D157" s="180">
        <v>606.66666666802485</v>
      </c>
    </row>
    <row r="158" spans="1:4" x14ac:dyDescent="0.25">
      <c r="A158" s="126" t="s">
        <v>394</v>
      </c>
      <c r="B158" s="126">
        <v>3</v>
      </c>
      <c r="C158" s="181">
        <f t="shared" si="4"/>
        <v>14.333333333333336</v>
      </c>
      <c r="D158" s="180">
        <v>501.66666666666674</v>
      </c>
    </row>
    <row r="159" spans="1:4" x14ac:dyDescent="0.25">
      <c r="A159" s="126" t="s">
        <v>395</v>
      </c>
      <c r="B159" s="126">
        <v>8</v>
      </c>
      <c r="C159" s="181">
        <f t="shared" si="4"/>
        <v>31.916666674893349</v>
      </c>
      <c r="D159" s="180">
        <v>1117.0833336212672</v>
      </c>
    </row>
    <row r="160" spans="1:4" x14ac:dyDescent="0.25">
      <c r="A160" s="126" t="s">
        <v>396</v>
      </c>
      <c r="B160" s="126">
        <v>5</v>
      </c>
      <c r="C160" s="181">
        <f t="shared" si="4"/>
        <v>21.833333333333339</v>
      </c>
      <c r="D160" s="180">
        <v>764.16666666666686</v>
      </c>
    </row>
    <row r="161" spans="1:4" x14ac:dyDescent="0.25">
      <c r="A161" s="126" t="s">
        <v>397</v>
      </c>
      <c r="B161" s="126">
        <v>3</v>
      </c>
      <c r="C161" s="181">
        <f t="shared" si="4"/>
        <v>13.916666666666664</v>
      </c>
      <c r="D161" s="180">
        <v>487.08333333333326</v>
      </c>
    </row>
    <row r="162" spans="1:4" x14ac:dyDescent="0.25">
      <c r="A162" s="126" t="s">
        <v>398</v>
      </c>
      <c r="B162" s="126">
        <v>4</v>
      </c>
      <c r="C162" s="181">
        <f t="shared" si="4"/>
        <v>17.333333333333336</v>
      </c>
      <c r="D162" s="180">
        <v>606.66666666666674</v>
      </c>
    </row>
    <row r="163" spans="1:4" x14ac:dyDescent="0.25">
      <c r="A163" s="126" t="s">
        <v>399</v>
      </c>
      <c r="B163" s="126">
        <v>5</v>
      </c>
      <c r="C163" s="181">
        <f t="shared" si="4"/>
        <v>22.750000000000007</v>
      </c>
      <c r="D163" s="180">
        <v>796.25000000000023</v>
      </c>
    </row>
    <row r="164" spans="1:4" x14ac:dyDescent="0.25">
      <c r="A164" s="183" t="s">
        <v>406</v>
      </c>
      <c r="B164" s="134">
        <v>32</v>
      </c>
      <c r="C164" s="146">
        <f>D164/32</f>
        <v>134.33333333641835</v>
      </c>
      <c r="D164" s="146">
        <v>4298.6666667653872</v>
      </c>
    </row>
    <row r="165" spans="1:4" x14ac:dyDescent="0.25">
      <c r="A165" s="126" t="s">
        <v>383</v>
      </c>
      <c r="B165" s="126">
        <v>3</v>
      </c>
      <c r="C165" s="180">
        <f t="shared" ref="C165:C193" si="5">D165/32</f>
        <v>11.500000000640284</v>
      </c>
      <c r="D165" s="180">
        <v>368.0000000204891</v>
      </c>
    </row>
    <row r="166" spans="1:4" x14ac:dyDescent="0.25">
      <c r="A166" s="126" t="s">
        <v>384</v>
      </c>
      <c r="B166" s="126">
        <v>3</v>
      </c>
      <c r="C166" s="180">
        <f t="shared" si="5"/>
        <v>13.500000002444722</v>
      </c>
      <c r="D166" s="180">
        <v>432.0000000782311</v>
      </c>
    </row>
    <row r="167" spans="1:4" x14ac:dyDescent="0.25">
      <c r="A167" s="126" t="s">
        <v>385</v>
      </c>
      <c r="B167" s="126">
        <v>3</v>
      </c>
      <c r="C167" s="180">
        <f t="shared" si="5"/>
        <v>13.750000000000004</v>
      </c>
      <c r="D167" s="180">
        <v>440.00000000000011</v>
      </c>
    </row>
    <row r="168" spans="1:4" x14ac:dyDescent="0.25">
      <c r="A168" s="126" t="s">
        <v>386</v>
      </c>
      <c r="B168" s="126">
        <v>3</v>
      </c>
      <c r="C168" s="180">
        <f t="shared" si="5"/>
        <v>12.333333333333336</v>
      </c>
      <c r="D168" s="180">
        <v>394.66666666666674</v>
      </c>
    </row>
    <row r="169" spans="1:4" x14ac:dyDescent="0.25">
      <c r="A169" s="126" t="s">
        <v>387</v>
      </c>
      <c r="B169" s="126">
        <v>3</v>
      </c>
      <c r="C169" s="180">
        <f t="shared" si="5"/>
        <v>12.000000000000004</v>
      </c>
      <c r="D169" s="180">
        <v>384.00000000000011</v>
      </c>
    </row>
    <row r="170" spans="1:4" x14ac:dyDescent="0.25">
      <c r="A170" s="126" t="s">
        <v>388</v>
      </c>
      <c r="B170" s="126">
        <v>3</v>
      </c>
      <c r="C170" s="180">
        <f t="shared" si="5"/>
        <v>13.500000000000004</v>
      </c>
      <c r="D170" s="180">
        <v>432.00000000000011</v>
      </c>
    </row>
    <row r="171" spans="1:4" x14ac:dyDescent="0.25">
      <c r="A171" s="126" t="s">
        <v>389</v>
      </c>
      <c r="B171" s="126">
        <v>2</v>
      </c>
      <c r="C171" s="180">
        <f t="shared" si="5"/>
        <v>5.5</v>
      </c>
      <c r="D171" s="180">
        <v>176</v>
      </c>
    </row>
    <row r="172" spans="1:4" x14ac:dyDescent="0.25">
      <c r="A172" s="126" t="s">
        <v>390</v>
      </c>
      <c r="B172" s="126">
        <v>3</v>
      </c>
      <c r="C172" s="180">
        <f t="shared" si="5"/>
        <v>13.249999999999998</v>
      </c>
      <c r="D172" s="180">
        <v>423.99999999999994</v>
      </c>
    </row>
    <row r="173" spans="1:4" x14ac:dyDescent="0.25">
      <c r="A173" s="126" t="s">
        <v>391</v>
      </c>
      <c r="B173" s="126">
        <v>3</v>
      </c>
      <c r="C173" s="180">
        <f t="shared" si="5"/>
        <v>13.500000000000004</v>
      </c>
      <c r="D173" s="180">
        <v>432.00000000000011</v>
      </c>
    </row>
    <row r="174" spans="1:4" x14ac:dyDescent="0.25">
      <c r="A174" s="126" t="s">
        <v>393</v>
      </c>
      <c r="B174" s="126">
        <v>3</v>
      </c>
      <c r="C174" s="180">
        <f t="shared" si="5"/>
        <v>13.500000000000004</v>
      </c>
      <c r="D174" s="180">
        <v>432.00000000000011</v>
      </c>
    </row>
    <row r="175" spans="1:4" x14ac:dyDescent="0.25">
      <c r="A175" s="126" t="s">
        <v>396</v>
      </c>
      <c r="B175" s="126">
        <v>3</v>
      </c>
      <c r="C175" s="180">
        <f t="shared" si="5"/>
        <v>11.999999999999995</v>
      </c>
      <c r="D175" s="180">
        <v>383.99999999999983</v>
      </c>
    </row>
    <row r="176" spans="1:4" x14ac:dyDescent="0.25">
      <c r="A176" s="183" t="s">
        <v>178</v>
      </c>
      <c r="B176" s="134">
        <v>234</v>
      </c>
      <c r="C176" s="146">
        <f t="shared" si="5"/>
        <v>996.94999998533183</v>
      </c>
      <c r="D176" s="146">
        <v>31902.399999530619</v>
      </c>
    </row>
    <row r="177" spans="1:4" x14ac:dyDescent="0.25">
      <c r="A177" s="126" t="s">
        <v>383</v>
      </c>
      <c r="B177" s="126">
        <v>18</v>
      </c>
      <c r="C177" s="180">
        <f t="shared" si="5"/>
        <v>71.999999985331669</v>
      </c>
      <c r="D177" s="180">
        <v>2303.9999995306134</v>
      </c>
    </row>
    <row r="178" spans="1:4" x14ac:dyDescent="0.25">
      <c r="A178" s="126" t="s">
        <v>384</v>
      </c>
      <c r="B178" s="126">
        <v>19</v>
      </c>
      <c r="C178" s="180">
        <f t="shared" si="5"/>
        <v>80.75</v>
      </c>
      <c r="D178" s="180">
        <v>2584</v>
      </c>
    </row>
    <row r="179" spans="1:4" x14ac:dyDescent="0.25">
      <c r="A179" s="126" t="s">
        <v>385</v>
      </c>
      <c r="B179" s="126">
        <v>17</v>
      </c>
      <c r="C179" s="180">
        <f t="shared" si="5"/>
        <v>76.499999999999986</v>
      </c>
      <c r="D179" s="180">
        <v>2447.9999999999995</v>
      </c>
    </row>
    <row r="180" spans="1:4" x14ac:dyDescent="0.25">
      <c r="A180" s="126" t="s">
        <v>386</v>
      </c>
      <c r="B180" s="126">
        <v>14</v>
      </c>
      <c r="C180" s="180">
        <f t="shared" si="5"/>
        <v>56.583333333333321</v>
      </c>
      <c r="D180" s="180">
        <v>1810.6666666666663</v>
      </c>
    </row>
    <row r="181" spans="1:4" x14ac:dyDescent="0.25">
      <c r="A181" s="126" t="s">
        <v>387</v>
      </c>
      <c r="B181" s="126">
        <v>16</v>
      </c>
      <c r="C181" s="180">
        <f t="shared" si="5"/>
        <v>66.083333333333343</v>
      </c>
      <c r="D181" s="180">
        <v>2114.666666666667</v>
      </c>
    </row>
    <row r="182" spans="1:4" x14ac:dyDescent="0.25">
      <c r="A182" s="126" t="s">
        <v>388</v>
      </c>
      <c r="B182" s="126">
        <v>15</v>
      </c>
      <c r="C182" s="180">
        <f t="shared" si="5"/>
        <v>66</v>
      </c>
      <c r="D182" s="180">
        <v>2112</v>
      </c>
    </row>
    <row r="183" spans="1:4" x14ac:dyDescent="0.25">
      <c r="A183" s="126" t="s">
        <v>389</v>
      </c>
      <c r="B183" s="126">
        <v>16</v>
      </c>
      <c r="C183" s="180">
        <f t="shared" si="5"/>
        <v>59.58333333333335</v>
      </c>
      <c r="D183" s="180">
        <v>1906.6666666666672</v>
      </c>
    </row>
    <row r="184" spans="1:4" x14ac:dyDescent="0.25">
      <c r="A184" s="126" t="s">
        <v>390</v>
      </c>
      <c r="B184" s="126">
        <v>10</v>
      </c>
      <c r="C184" s="180">
        <f t="shared" si="5"/>
        <v>43.333333333333329</v>
      </c>
      <c r="D184" s="180">
        <v>1386.6666666666665</v>
      </c>
    </row>
    <row r="185" spans="1:4" x14ac:dyDescent="0.25">
      <c r="A185" s="126" t="s">
        <v>391</v>
      </c>
      <c r="B185" s="126">
        <v>7</v>
      </c>
      <c r="C185" s="180">
        <f t="shared" si="5"/>
        <v>28.583333333333336</v>
      </c>
      <c r="D185" s="180">
        <v>914.66666666666674</v>
      </c>
    </row>
    <row r="186" spans="1:4" x14ac:dyDescent="0.25">
      <c r="A186" s="126" t="s">
        <v>392</v>
      </c>
      <c r="B186" s="126">
        <v>21</v>
      </c>
      <c r="C186" s="180">
        <f t="shared" si="5"/>
        <v>94.166666666666686</v>
      </c>
      <c r="D186" s="180">
        <v>3013.3333333333339</v>
      </c>
    </row>
    <row r="187" spans="1:4" x14ac:dyDescent="0.25">
      <c r="A187" s="126" t="s">
        <v>393</v>
      </c>
      <c r="B187" s="126">
        <v>10</v>
      </c>
      <c r="C187" s="180">
        <f t="shared" si="5"/>
        <v>45.000000000000007</v>
      </c>
      <c r="D187" s="180">
        <v>1440.0000000000002</v>
      </c>
    </row>
    <row r="188" spans="1:4" x14ac:dyDescent="0.25">
      <c r="A188" s="126" t="s">
        <v>394</v>
      </c>
      <c r="B188" s="126">
        <v>15</v>
      </c>
      <c r="C188" s="180">
        <f t="shared" si="5"/>
        <v>68.25</v>
      </c>
      <c r="D188" s="180">
        <v>2184</v>
      </c>
    </row>
    <row r="189" spans="1:4" x14ac:dyDescent="0.25">
      <c r="A189" s="126" t="s">
        <v>395</v>
      </c>
      <c r="B189" s="126">
        <v>14</v>
      </c>
      <c r="C189" s="180">
        <f t="shared" si="5"/>
        <v>56.783333333333331</v>
      </c>
      <c r="D189" s="180">
        <v>1817.0666666666666</v>
      </c>
    </row>
    <row r="190" spans="1:4" x14ac:dyDescent="0.25">
      <c r="A190" s="126" t="s">
        <v>396</v>
      </c>
      <c r="B190" s="126">
        <v>14</v>
      </c>
      <c r="C190" s="180">
        <f t="shared" si="5"/>
        <v>61.83333333333335</v>
      </c>
      <c r="D190" s="180">
        <v>1978.6666666666672</v>
      </c>
    </row>
    <row r="191" spans="1:4" x14ac:dyDescent="0.25">
      <c r="A191" s="126" t="s">
        <v>397</v>
      </c>
      <c r="B191" s="126">
        <v>14</v>
      </c>
      <c r="C191" s="180">
        <f t="shared" si="5"/>
        <v>64.166666666666686</v>
      </c>
      <c r="D191" s="180">
        <v>2053.3333333333339</v>
      </c>
    </row>
    <row r="192" spans="1:4" x14ac:dyDescent="0.25">
      <c r="A192" s="126" t="s">
        <v>398</v>
      </c>
      <c r="B192" s="126">
        <v>6</v>
      </c>
      <c r="C192" s="180">
        <f t="shared" si="5"/>
        <v>25.499999999999993</v>
      </c>
      <c r="D192" s="180">
        <v>815.99999999999977</v>
      </c>
    </row>
    <row r="193" spans="1:4" x14ac:dyDescent="0.25">
      <c r="A193" s="126" t="s">
        <v>399</v>
      </c>
      <c r="B193" s="126">
        <v>8</v>
      </c>
      <c r="C193" s="180">
        <f t="shared" si="5"/>
        <v>31.833333333333343</v>
      </c>
      <c r="D193" s="180">
        <v>1018.666666666667</v>
      </c>
    </row>
    <row r="194" spans="1:4" x14ac:dyDescent="0.25">
      <c r="A194" s="134" t="s">
        <v>407</v>
      </c>
      <c r="B194" s="134">
        <v>1201</v>
      </c>
      <c r="C194" s="144"/>
      <c r="D194" s="144">
        <v>167813.23333481251</v>
      </c>
    </row>
    <row r="195" spans="1:4" ht="17.399999999999999" x14ac:dyDescent="0.3">
      <c r="D195" s="167">
        <f>SUM(D176+D164+D146+D143+D138+D136+D118+D113+D95+D93+D91+D76+D71+D67+D54+D52+D34+D20+D2)</f>
        <v>165430.31666814591</v>
      </c>
    </row>
  </sheetData>
  <mergeCells count="1">
    <mergeCell ref="E118:E135"/>
  </mergeCells>
  <pageMargins left="0.25" right="0.25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521-90AD-47AC-BD69-7FF3EC3E2EED}">
  <dimension ref="A1:K97"/>
  <sheetViews>
    <sheetView rightToLeft="1" workbookViewId="0">
      <selection activeCell="A88" sqref="A88"/>
    </sheetView>
  </sheetViews>
  <sheetFormatPr defaultRowHeight="13.8" x14ac:dyDescent="0.25"/>
  <cols>
    <col min="1" max="1" width="19.8984375" bestFit="1" customWidth="1"/>
    <col min="2" max="2" width="10.296875" bestFit="1" customWidth="1"/>
    <col min="3" max="3" width="9.19921875" bestFit="1" customWidth="1"/>
    <col min="4" max="4" width="10.69921875" bestFit="1" customWidth="1"/>
    <col min="7" max="7" width="4.69921875" customWidth="1"/>
    <col min="8" max="8" width="14.5" customWidth="1"/>
  </cols>
  <sheetData>
    <row r="1" spans="1:11" x14ac:dyDescent="0.25">
      <c r="A1" s="150" t="s">
        <v>419</v>
      </c>
      <c r="B1" s="150" t="s">
        <v>83</v>
      </c>
      <c r="C1" s="150" t="s">
        <v>410</v>
      </c>
      <c r="D1" s="150" t="s">
        <v>427</v>
      </c>
    </row>
    <row r="2" spans="1:11" x14ac:dyDescent="0.25">
      <c r="A2" s="151" t="s">
        <v>76</v>
      </c>
      <c r="B2" s="151">
        <v>122</v>
      </c>
      <c r="C2" s="152">
        <f>D2/39</f>
        <v>553.83333331946051</v>
      </c>
      <c r="D2" s="152">
        <v>21599.49999945896</v>
      </c>
    </row>
    <row r="3" spans="1:11" x14ac:dyDescent="0.25">
      <c r="A3" s="94">
        <v>46027.486111111109</v>
      </c>
      <c r="B3" s="87">
        <v>14</v>
      </c>
      <c r="C3" s="153">
        <f t="shared" ref="C3:C66" si="0">D3/39</f>
        <v>67.16666667611571</v>
      </c>
      <c r="D3" s="87">
        <v>2619.5000003685127</v>
      </c>
    </row>
    <row r="4" spans="1:11" x14ac:dyDescent="0.25">
      <c r="A4" s="94">
        <v>46028.1875</v>
      </c>
      <c r="B4" s="87">
        <v>6</v>
      </c>
      <c r="C4" s="153">
        <f t="shared" si="0"/>
        <v>30.499999996391125</v>
      </c>
      <c r="D4" s="95">
        <v>1189.4999998592539</v>
      </c>
      <c r="F4" s="95"/>
      <c r="G4" s="95"/>
      <c r="H4" s="150" t="s">
        <v>419</v>
      </c>
      <c r="I4" s="150" t="s">
        <v>83</v>
      </c>
      <c r="J4" s="150" t="s">
        <v>410</v>
      </c>
      <c r="K4" s="150" t="s">
        <v>427</v>
      </c>
    </row>
    <row r="5" spans="1:11" x14ac:dyDescent="0.25">
      <c r="A5" s="94">
        <v>46029.149305555555</v>
      </c>
      <c r="B5" s="87">
        <v>7</v>
      </c>
      <c r="C5" s="153">
        <f t="shared" si="0"/>
        <v>31.166666664823424</v>
      </c>
      <c r="D5" s="95">
        <v>1215.4999999281135</v>
      </c>
      <c r="H5" s="151" t="s">
        <v>78</v>
      </c>
      <c r="I5" s="151">
        <v>33</v>
      </c>
      <c r="J5" s="152">
        <f t="shared" ref="J5:J9" si="1">K5/39</f>
        <v>146.08333335077623</v>
      </c>
      <c r="K5" s="152">
        <v>5697.2500006802729</v>
      </c>
    </row>
    <row r="6" spans="1:11" x14ac:dyDescent="0.25">
      <c r="A6" s="94">
        <v>46030.482638888891</v>
      </c>
      <c r="B6" s="87">
        <v>6</v>
      </c>
      <c r="C6" s="153">
        <f t="shared" si="0"/>
        <v>25.999999996391125</v>
      </c>
      <c r="D6" s="95">
        <v>1013.9999998592539</v>
      </c>
      <c r="H6" s="94">
        <v>46028.1875</v>
      </c>
      <c r="I6" s="87">
        <v>8</v>
      </c>
      <c r="J6" s="153">
        <f t="shared" si="1"/>
        <v>33.000000001280569</v>
      </c>
      <c r="K6" s="95">
        <v>1287.0000000499422</v>
      </c>
    </row>
    <row r="7" spans="1:11" x14ac:dyDescent="0.25">
      <c r="A7" s="94">
        <v>46034.149305555555</v>
      </c>
      <c r="B7" s="87">
        <v>9</v>
      </c>
      <c r="C7" s="153">
        <f t="shared" si="0"/>
        <v>44.583333331276663</v>
      </c>
      <c r="D7" s="87">
        <v>1738.7499999197898</v>
      </c>
      <c r="H7" s="94">
        <v>46042.190972222219</v>
      </c>
      <c r="I7" s="87">
        <v>9</v>
      </c>
      <c r="J7" s="153">
        <f t="shared" si="1"/>
        <v>39.750000012747478</v>
      </c>
      <c r="K7" s="95">
        <v>1550.2500004971516</v>
      </c>
    </row>
    <row r="8" spans="1:11" x14ac:dyDescent="0.25">
      <c r="A8" s="94">
        <v>46036.184027777781</v>
      </c>
      <c r="B8" s="87">
        <v>8</v>
      </c>
      <c r="C8" s="153">
        <f t="shared" si="0"/>
        <v>33.333333336748183</v>
      </c>
      <c r="D8" s="95">
        <v>1300.0000001331791</v>
      </c>
      <c r="H8" s="94">
        <v>46043.145833333336</v>
      </c>
      <c r="I8" s="87">
        <v>9</v>
      </c>
      <c r="J8" s="153">
        <f t="shared" si="1"/>
        <v>41.250000001920853</v>
      </c>
      <c r="K8" s="95">
        <v>1608.7500000749133</v>
      </c>
    </row>
    <row r="9" spans="1:11" x14ac:dyDescent="0.25">
      <c r="A9" s="94">
        <v>46037.149305555555</v>
      </c>
      <c r="B9" s="87">
        <v>8</v>
      </c>
      <c r="C9" s="153">
        <f t="shared" si="0"/>
        <v>36.666666650213301</v>
      </c>
      <c r="D9" s="95">
        <v>1429.9999993583187</v>
      </c>
      <c r="H9" s="94">
        <v>46049.1875</v>
      </c>
      <c r="I9" s="87">
        <v>7</v>
      </c>
      <c r="J9" s="153">
        <f t="shared" si="1"/>
        <v>32.08333333482733</v>
      </c>
      <c r="K9" s="95">
        <v>1251.2500000582659</v>
      </c>
    </row>
    <row r="10" spans="1:11" x14ac:dyDescent="0.25">
      <c r="A10" s="94">
        <v>46041.152777777781</v>
      </c>
      <c r="B10" s="87">
        <v>11</v>
      </c>
      <c r="C10" s="153">
        <f t="shared" si="0"/>
        <v>52.24999999103602</v>
      </c>
      <c r="D10" s="95">
        <v>2037.7499996504048</v>
      </c>
      <c r="H10" s="161"/>
      <c r="I10" s="161"/>
      <c r="J10" s="153"/>
      <c r="K10" s="162"/>
    </row>
    <row r="11" spans="1:11" x14ac:dyDescent="0.25">
      <c r="A11" s="94">
        <v>46042.152777777781</v>
      </c>
      <c r="B11" s="87">
        <v>9</v>
      </c>
      <c r="C11" s="153">
        <f t="shared" si="0"/>
        <v>42.249999993480742</v>
      </c>
      <c r="D11" s="87">
        <v>1647.7499997457489</v>
      </c>
      <c r="H11" s="161"/>
      <c r="I11" s="161"/>
      <c r="J11" s="153"/>
      <c r="K11" s="162"/>
    </row>
    <row r="12" spans="1:11" x14ac:dyDescent="0.25">
      <c r="A12" s="94">
        <v>46043.1875</v>
      </c>
      <c r="B12" s="87">
        <v>7</v>
      </c>
      <c r="C12" s="153">
        <f t="shared" si="0"/>
        <v>25.750000006519258</v>
      </c>
      <c r="D12" s="87">
        <v>1004.2500002542511</v>
      </c>
    </row>
    <row r="13" spans="1:11" x14ac:dyDescent="0.25">
      <c r="A13" s="94">
        <v>46048.194444444445</v>
      </c>
      <c r="B13" s="87">
        <v>12</v>
      </c>
      <c r="C13" s="153">
        <f t="shared" si="0"/>
        <v>59.000000005122274</v>
      </c>
      <c r="D13" s="95">
        <v>2301.0000001997687</v>
      </c>
    </row>
    <row r="14" spans="1:11" x14ac:dyDescent="0.25">
      <c r="A14" s="94">
        <v>46049.1875</v>
      </c>
      <c r="B14" s="87">
        <v>8</v>
      </c>
      <c r="C14" s="153">
        <f t="shared" si="0"/>
        <v>38.916666671691928</v>
      </c>
      <c r="D14" s="95">
        <v>1517.7500001959852</v>
      </c>
    </row>
    <row r="15" spans="1:11" x14ac:dyDescent="0.25">
      <c r="A15" s="94">
        <v>46050.1875</v>
      </c>
      <c r="B15" s="87">
        <v>8</v>
      </c>
      <c r="C15" s="153">
        <f t="shared" si="0"/>
        <v>29.999999999534339</v>
      </c>
      <c r="D15" s="95">
        <v>1169.9999999818392</v>
      </c>
    </row>
    <row r="16" spans="1:11" x14ac:dyDescent="0.25">
      <c r="A16" s="94">
        <v>46051.1875</v>
      </c>
      <c r="B16" s="87">
        <v>9</v>
      </c>
      <c r="C16" s="153">
        <f t="shared" si="0"/>
        <v>36.250000000116415</v>
      </c>
      <c r="D16" s="95">
        <v>1413.7500000045402</v>
      </c>
    </row>
    <row r="17" spans="1:4" x14ac:dyDescent="0.25">
      <c r="A17" s="151" t="s">
        <v>77</v>
      </c>
      <c r="B17" s="151">
        <v>82</v>
      </c>
      <c r="C17" s="152">
        <f t="shared" si="0"/>
        <v>368.449999998149</v>
      </c>
      <c r="D17" s="152">
        <v>14369.549999927811</v>
      </c>
    </row>
    <row r="18" spans="1:4" x14ac:dyDescent="0.25">
      <c r="A18" s="94">
        <v>46028.186805555553</v>
      </c>
      <c r="B18" s="87">
        <v>7</v>
      </c>
      <c r="C18" s="153">
        <f t="shared" si="0"/>
        <v>32.433333329856396</v>
      </c>
      <c r="D18" s="95">
        <v>1264.8999998643994</v>
      </c>
    </row>
    <row r="19" spans="1:4" x14ac:dyDescent="0.25">
      <c r="A19" s="94">
        <v>46029.194444444445</v>
      </c>
      <c r="B19" s="87">
        <v>8</v>
      </c>
      <c r="C19" s="153">
        <f t="shared" si="0"/>
        <v>36.666666668374091</v>
      </c>
      <c r="D19" s="95">
        <v>1430.0000000665896</v>
      </c>
    </row>
    <row r="20" spans="1:4" x14ac:dyDescent="0.25">
      <c r="A20" s="94">
        <v>46030.1875</v>
      </c>
      <c r="B20" s="87">
        <v>7</v>
      </c>
      <c r="C20" s="153">
        <f t="shared" si="0"/>
        <v>29.75</v>
      </c>
      <c r="D20" s="95">
        <v>1160.25</v>
      </c>
    </row>
    <row r="21" spans="1:4" x14ac:dyDescent="0.25">
      <c r="A21" s="94">
        <v>46036.198611111111</v>
      </c>
      <c r="B21" s="87">
        <v>8</v>
      </c>
      <c r="C21" s="153">
        <f t="shared" si="0"/>
        <v>34.266666668932885</v>
      </c>
      <c r="D21" s="95">
        <v>1336.4000000883825</v>
      </c>
    </row>
    <row r="22" spans="1:4" x14ac:dyDescent="0.25">
      <c r="A22" s="94">
        <v>46037.194444444445</v>
      </c>
      <c r="B22" s="87">
        <v>7</v>
      </c>
      <c r="C22" s="153">
        <f t="shared" si="0"/>
        <v>28.583333340531681</v>
      </c>
      <c r="D22" s="95">
        <v>1114.7500002807355</v>
      </c>
    </row>
    <row r="23" spans="1:4" x14ac:dyDescent="0.25">
      <c r="A23" s="94">
        <v>46041.1875</v>
      </c>
      <c r="B23" s="87">
        <v>6</v>
      </c>
      <c r="C23" s="153">
        <f t="shared" si="0"/>
        <v>29.500000003608875</v>
      </c>
      <c r="D23" s="95">
        <v>1150.5000001407461</v>
      </c>
    </row>
    <row r="24" spans="1:4" x14ac:dyDescent="0.25">
      <c r="A24" s="94">
        <v>46042.209027777775</v>
      </c>
      <c r="B24" s="87">
        <v>8</v>
      </c>
      <c r="C24" s="153">
        <f t="shared" si="0"/>
        <v>32.533333331346512</v>
      </c>
      <c r="D24" s="95">
        <v>1268.799999922514</v>
      </c>
    </row>
    <row r="25" spans="1:4" x14ac:dyDescent="0.25">
      <c r="A25" s="94">
        <v>46043.1875</v>
      </c>
      <c r="B25" s="87">
        <v>7</v>
      </c>
      <c r="C25" s="153">
        <f t="shared" si="0"/>
        <v>33.249999994295649</v>
      </c>
      <c r="D25" s="95">
        <v>1296.7499997775303</v>
      </c>
    </row>
    <row r="26" spans="1:4" x14ac:dyDescent="0.25">
      <c r="A26" s="94">
        <v>46048.1875</v>
      </c>
      <c r="B26" s="87">
        <v>8</v>
      </c>
      <c r="C26" s="153">
        <f t="shared" si="0"/>
        <v>36.666666668374091</v>
      </c>
      <c r="D26" s="95">
        <v>1430.0000000665896</v>
      </c>
    </row>
    <row r="27" spans="1:4" x14ac:dyDescent="0.25">
      <c r="A27" s="94">
        <v>46049.196527777778</v>
      </c>
      <c r="B27" s="87">
        <v>8</v>
      </c>
      <c r="C27" s="153">
        <f t="shared" si="0"/>
        <v>36.799999993760139</v>
      </c>
      <c r="D27" s="95">
        <v>1435.1999997566454</v>
      </c>
    </row>
    <row r="28" spans="1:4" x14ac:dyDescent="0.25">
      <c r="A28" s="94">
        <v>46050.1875</v>
      </c>
      <c r="B28" s="87">
        <v>8</v>
      </c>
      <c r="C28" s="153">
        <f t="shared" si="0"/>
        <v>37.999999999068677</v>
      </c>
      <c r="D28" s="95">
        <v>1481.9999999636784</v>
      </c>
    </row>
    <row r="29" spans="1:4" x14ac:dyDescent="0.25">
      <c r="A29" s="151" t="s">
        <v>78</v>
      </c>
      <c r="B29" s="151">
        <v>33</v>
      </c>
      <c r="C29" s="152">
        <f t="shared" si="0"/>
        <v>146.08333335077623</v>
      </c>
      <c r="D29" s="152">
        <v>5697.2500006802729</v>
      </c>
    </row>
    <row r="30" spans="1:4" x14ac:dyDescent="0.25">
      <c r="A30" s="94">
        <v>46028.1875</v>
      </c>
      <c r="B30" s="87">
        <v>8</v>
      </c>
      <c r="C30" s="153">
        <f t="shared" si="0"/>
        <v>33.000000001280569</v>
      </c>
      <c r="D30" s="95">
        <v>1287.0000000499422</v>
      </c>
    </row>
    <row r="31" spans="1:4" x14ac:dyDescent="0.25">
      <c r="A31" s="94">
        <v>46042.190972222219</v>
      </c>
      <c r="B31" s="87">
        <v>9</v>
      </c>
      <c r="C31" s="153">
        <f t="shared" si="0"/>
        <v>39.750000012747478</v>
      </c>
      <c r="D31" s="95">
        <v>1550.2500004971516</v>
      </c>
    </row>
    <row r="32" spans="1:4" x14ac:dyDescent="0.25">
      <c r="A32" s="94">
        <v>46043.145833333336</v>
      </c>
      <c r="B32" s="87">
        <v>9</v>
      </c>
      <c r="C32" s="153">
        <f t="shared" si="0"/>
        <v>41.250000001920853</v>
      </c>
      <c r="D32" s="95">
        <v>1608.7500000749133</v>
      </c>
    </row>
    <row r="33" spans="1:4" x14ac:dyDescent="0.25">
      <c r="A33" s="94">
        <v>46049.1875</v>
      </c>
      <c r="B33" s="87">
        <v>7</v>
      </c>
      <c r="C33" s="153">
        <f t="shared" si="0"/>
        <v>32.08333333482733</v>
      </c>
      <c r="D33" s="95">
        <v>1251.2500000582659</v>
      </c>
    </row>
    <row r="34" spans="1:4" x14ac:dyDescent="0.25">
      <c r="A34" s="164" t="s">
        <v>79</v>
      </c>
      <c r="B34" s="151">
        <v>87</v>
      </c>
      <c r="C34" s="152">
        <f t="shared" si="0"/>
        <v>388.91666663991055</v>
      </c>
      <c r="D34" s="152">
        <v>15167.749998956511</v>
      </c>
    </row>
    <row r="35" spans="1:4" x14ac:dyDescent="0.25">
      <c r="A35" s="94">
        <v>46027.194444444445</v>
      </c>
      <c r="B35" s="87">
        <v>8</v>
      </c>
      <c r="C35" s="153">
        <f t="shared" si="0"/>
        <v>39.333333336748183</v>
      </c>
      <c r="D35" s="95">
        <v>1534.0000001331791</v>
      </c>
    </row>
    <row r="36" spans="1:4" x14ac:dyDescent="0.25">
      <c r="A36" s="94">
        <v>46028.197916666664</v>
      </c>
      <c r="B36" s="87">
        <v>7</v>
      </c>
      <c r="C36" s="153">
        <f t="shared" si="0"/>
        <v>27.749999995925464</v>
      </c>
      <c r="D36" s="95">
        <v>1082.2499998410931</v>
      </c>
    </row>
    <row r="37" spans="1:4" x14ac:dyDescent="0.25">
      <c r="A37" s="94">
        <v>46029.291666666664</v>
      </c>
      <c r="B37" s="87">
        <v>8</v>
      </c>
      <c r="C37" s="153">
        <f t="shared" si="0"/>
        <v>34</v>
      </c>
      <c r="D37" s="95">
        <v>1326</v>
      </c>
    </row>
    <row r="38" spans="1:4" x14ac:dyDescent="0.25">
      <c r="A38" s="94">
        <v>46030.197916666664</v>
      </c>
      <c r="B38" s="87">
        <v>5</v>
      </c>
      <c r="C38" s="153">
        <f t="shared" si="0"/>
        <v>18.749999994295649</v>
      </c>
      <c r="D38" s="95">
        <v>731.24999977753032</v>
      </c>
    </row>
    <row r="39" spans="1:4" x14ac:dyDescent="0.25">
      <c r="A39" s="94">
        <v>46034.196527777778</v>
      </c>
      <c r="B39" s="87">
        <v>15</v>
      </c>
      <c r="C39" s="153">
        <f t="shared" si="0"/>
        <v>67.999999979801942</v>
      </c>
      <c r="D39" s="95">
        <v>2651.9999992122757</v>
      </c>
    </row>
    <row r="40" spans="1:4" x14ac:dyDescent="0.25">
      <c r="A40" s="94">
        <v>46037.194444444445</v>
      </c>
      <c r="B40" s="87">
        <v>8</v>
      </c>
      <c r="C40" s="153">
        <f t="shared" si="0"/>
        <v>32.666666674893349</v>
      </c>
      <c r="D40" s="95">
        <v>1274.0000003208406</v>
      </c>
    </row>
    <row r="41" spans="1:4" x14ac:dyDescent="0.25">
      <c r="A41" s="94">
        <v>46041.21875</v>
      </c>
      <c r="B41" s="87">
        <v>7</v>
      </c>
      <c r="C41" s="153">
        <f t="shared" si="0"/>
        <v>30.333333329122979</v>
      </c>
      <c r="D41" s="95">
        <v>1182.9999998357962</v>
      </c>
    </row>
    <row r="42" spans="1:4" x14ac:dyDescent="0.25">
      <c r="A42" s="94">
        <v>46043.1875</v>
      </c>
      <c r="B42" s="87">
        <v>7</v>
      </c>
      <c r="C42" s="153">
        <f t="shared" si="0"/>
        <v>35</v>
      </c>
      <c r="D42" s="95">
        <v>1365</v>
      </c>
    </row>
    <row r="43" spans="1:4" x14ac:dyDescent="0.25">
      <c r="A43" s="94">
        <v>46048.194444444445</v>
      </c>
      <c r="B43" s="87">
        <v>7</v>
      </c>
      <c r="C43" s="153">
        <f t="shared" si="0"/>
        <v>30.833333335642237</v>
      </c>
      <c r="D43" s="95">
        <v>1202.5000000900473</v>
      </c>
    </row>
    <row r="44" spans="1:4" x14ac:dyDescent="0.25">
      <c r="A44" s="94">
        <v>46049.201388888891</v>
      </c>
      <c r="B44" s="87">
        <v>9</v>
      </c>
      <c r="C44" s="153">
        <f t="shared" si="0"/>
        <v>42.249999993480742</v>
      </c>
      <c r="D44" s="95">
        <v>1647.7499997457489</v>
      </c>
    </row>
    <row r="45" spans="1:4" x14ac:dyDescent="0.25">
      <c r="A45" s="94">
        <v>46050.1875</v>
      </c>
      <c r="B45" s="87">
        <v>6</v>
      </c>
      <c r="C45" s="153">
        <f t="shared" si="0"/>
        <v>30</v>
      </c>
      <c r="D45" s="95">
        <v>1170</v>
      </c>
    </row>
    <row r="46" spans="1:4" x14ac:dyDescent="0.25">
      <c r="A46" s="151" t="s">
        <v>80</v>
      </c>
      <c r="B46" s="151">
        <v>16</v>
      </c>
      <c r="C46" s="152">
        <f t="shared" si="0"/>
        <v>74.749999995110556</v>
      </c>
      <c r="D46" s="152">
        <v>2915.2499998093117</v>
      </c>
    </row>
    <row r="47" spans="1:4" x14ac:dyDescent="0.25">
      <c r="A47" s="94">
        <v>46029.166666666664</v>
      </c>
      <c r="B47" s="87">
        <v>4</v>
      </c>
      <c r="C47" s="153">
        <f t="shared" si="0"/>
        <v>20.999999993480742</v>
      </c>
      <c r="D47" s="95">
        <v>818.99999974574894</v>
      </c>
    </row>
    <row r="48" spans="1:4" x14ac:dyDescent="0.25">
      <c r="A48" s="94">
        <v>46030.1875</v>
      </c>
      <c r="B48" s="87">
        <v>4</v>
      </c>
      <c r="C48" s="153">
        <f t="shared" si="0"/>
        <v>17.249999998370185</v>
      </c>
      <c r="D48" s="95">
        <v>672.74999993643723</v>
      </c>
    </row>
    <row r="49" spans="1:8" x14ac:dyDescent="0.25">
      <c r="A49" s="94">
        <v>46037.270833333336</v>
      </c>
      <c r="B49" s="87">
        <v>4</v>
      </c>
      <c r="C49" s="153">
        <f t="shared" si="0"/>
        <v>15.5</v>
      </c>
      <c r="D49" s="95">
        <v>604.5</v>
      </c>
    </row>
    <row r="50" spans="1:8" x14ac:dyDescent="0.25">
      <c r="A50" s="94">
        <v>46042.125</v>
      </c>
      <c r="B50" s="87">
        <v>4</v>
      </c>
      <c r="C50" s="153">
        <f t="shared" si="0"/>
        <v>21.000000003259629</v>
      </c>
      <c r="D50" s="95">
        <v>819.00000012712553</v>
      </c>
    </row>
    <row r="51" spans="1:8" x14ac:dyDescent="0.25">
      <c r="A51" s="164" t="s">
        <v>173</v>
      </c>
      <c r="B51" s="151">
        <v>111</v>
      </c>
      <c r="C51" s="152">
        <f t="shared" si="0"/>
        <v>458.41666666948004</v>
      </c>
      <c r="D51" s="152">
        <v>17878.250000109721</v>
      </c>
      <c r="F51">
        <v>435.50000000116415</v>
      </c>
      <c r="H51">
        <v>16984.500000045402</v>
      </c>
    </row>
    <row r="52" spans="1:8" x14ac:dyDescent="0.25">
      <c r="A52" s="94">
        <v>46027.184027777781</v>
      </c>
      <c r="B52" s="87">
        <v>7</v>
      </c>
      <c r="C52" s="153">
        <f t="shared" si="0"/>
        <v>32.08333333482733</v>
      </c>
      <c r="D52" s="95">
        <v>1251.2500000582659</v>
      </c>
    </row>
    <row r="53" spans="1:8" x14ac:dyDescent="0.25">
      <c r="A53" s="94">
        <v>46028.194444444445</v>
      </c>
      <c r="B53" s="87">
        <v>7</v>
      </c>
      <c r="C53" s="153">
        <f t="shared" si="0"/>
        <v>27.41666667163372</v>
      </c>
      <c r="D53" s="95">
        <v>1069.2500001937151</v>
      </c>
    </row>
    <row r="54" spans="1:8" x14ac:dyDescent="0.25">
      <c r="A54" s="94">
        <v>46029.180555555555</v>
      </c>
      <c r="B54" s="87">
        <v>6</v>
      </c>
      <c r="C54" s="153">
        <f t="shared" si="0"/>
        <v>27.499999987659976</v>
      </c>
      <c r="D54" s="95">
        <v>1072.4999995187391</v>
      </c>
    </row>
    <row r="55" spans="1:8" x14ac:dyDescent="0.25">
      <c r="A55" s="94">
        <v>46034.1875</v>
      </c>
      <c r="B55" s="87">
        <v>8</v>
      </c>
      <c r="C55" s="153">
        <f t="shared" si="0"/>
        <v>37.999999993480742</v>
      </c>
      <c r="D55" s="95">
        <v>1481.9999997457489</v>
      </c>
    </row>
    <row r="56" spans="1:8" x14ac:dyDescent="0.25">
      <c r="A56" s="94">
        <v>46036.201388888891</v>
      </c>
      <c r="B56" s="87">
        <v>10</v>
      </c>
      <c r="C56" s="153">
        <f t="shared" si="0"/>
        <v>35.833333335700445</v>
      </c>
      <c r="D56" s="95">
        <v>1397.5000000923174</v>
      </c>
    </row>
    <row r="57" spans="1:8" x14ac:dyDescent="0.25">
      <c r="A57" s="94">
        <v>46037.201388888891</v>
      </c>
      <c r="B57" s="87">
        <v>8</v>
      </c>
      <c r="C57" s="153">
        <f t="shared" si="0"/>
        <v>31.333333331625909</v>
      </c>
      <c r="D57" s="95">
        <v>1221.9999999334104</v>
      </c>
    </row>
    <row r="58" spans="1:8" x14ac:dyDescent="0.25">
      <c r="A58" s="94">
        <v>46041.194444444445</v>
      </c>
      <c r="B58" s="87">
        <v>7</v>
      </c>
      <c r="C58" s="153">
        <f t="shared" si="0"/>
        <v>33.250000011408702</v>
      </c>
      <c r="D58" s="95">
        <v>1296.7500004449394</v>
      </c>
    </row>
    <row r="59" spans="1:8" x14ac:dyDescent="0.25">
      <c r="A59" s="94">
        <v>46042.197916666664</v>
      </c>
      <c r="B59" s="87">
        <v>8</v>
      </c>
      <c r="C59" s="153">
        <f t="shared" si="0"/>
        <v>35.999999986961484</v>
      </c>
      <c r="D59" s="95">
        <v>1403.9999994914979</v>
      </c>
    </row>
    <row r="60" spans="1:8" x14ac:dyDescent="0.25">
      <c r="A60" s="94">
        <v>46043.208333333336</v>
      </c>
      <c r="B60" s="87">
        <v>7</v>
      </c>
      <c r="C60" s="153">
        <f t="shared" si="0"/>
        <v>28.749999999185093</v>
      </c>
      <c r="D60" s="95">
        <v>1121.2499999682186</v>
      </c>
    </row>
    <row r="61" spans="1:8" x14ac:dyDescent="0.25">
      <c r="A61" s="94">
        <v>46044.208333333336</v>
      </c>
      <c r="B61" s="87">
        <v>6</v>
      </c>
      <c r="C61" s="153">
        <f t="shared" si="0"/>
        <v>10.500000009778887</v>
      </c>
      <c r="D61" s="95">
        <v>409.50000038137659</v>
      </c>
    </row>
    <row r="62" spans="1:8" x14ac:dyDescent="0.25">
      <c r="A62" s="94">
        <v>46048.173611111109</v>
      </c>
      <c r="B62" s="87">
        <v>9</v>
      </c>
      <c r="C62" s="153">
        <f t="shared" si="0"/>
        <v>32.666666662960779</v>
      </c>
      <c r="D62" s="95">
        <v>1273.9999998554704</v>
      </c>
    </row>
    <row r="63" spans="1:8" x14ac:dyDescent="0.25">
      <c r="A63" s="94">
        <v>46049.163194444445</v>
      </c>
      <c r="B63" s="87">
        <v>7</v>
      </c>
      <c r="C63" s="153">
        <f t="shared" si="0"/>
        <v>28.250000011874363</v>
      </c>
      <c r="D63" s="95">
        <v>1101.7500004631002</v>
      </c>
    </row>
    <row r="64" spans="1:8" x14ac:dyDescent="0.25">
      <c r="A64" s="94">
        <v>46030.375</v>
      </c>
      <c r="B64" s="87">
        <v>6</v>
      </c>
      <c r="C64" s="153">
        <f t="shared" si="0"/>
        <v>28.999999999883585</v>
      </c>
      <c r="D64" s="95">
        <v>1130.9999999954598</v>
      </c>
    </row>
    <row r="65" spans="1:7" x14ac:dyDescent="0.25">
      <c r="A65" s="94">
        <v>46050.375</v>
      </c>
      <c r="B65" s="87">
        <v>7</v>
      </c>
      <c r="C65" s="153">
        <f t="shared" si="0"/>
        <v>29.166666665987577</v>
      </c>
      <c r="D65" s="95">
        <v>1137.4999999735155</v>
      </c>
    </row>
    <row r="66" spans="1:7" x14ac:dyDescent="0.25">
      <c r="A66" s="94">
        <v>46051.375</v>
      </c>
      <c r="B66" s="87">
        <v>8</v>
      </c>
      <c r="C66" s="153">
        <f t="shared" si="0"/>
        <v>38.666666666511446</v>
      </c>
      <c r="D66" s="95">
        <v>1507.9999999939464</v>
      </c>
    </row>
    <row r="67" spans="1:7" x14ac:dyDescent="0.25">
      <c r="A67" s="164" t="s">
        <v>81</v>
      </c>
      <c r="B67" s="154">
        <f>SUM(B68:B82)</f>
        <v>241</v>
      </c>
      <c r="C67" s="152">
        <f t="shared" ref="C67:C92" si="2">D67/39</f>
        <v>1108.133333267974</v>
      </c>
      <c r="D67" s="152">
        <f>SUM(D68:D82)</f>
        <v>43217.199997450982</v>
      </c>
      <c r="E67" s="155"/>
      <c r="F67" s="156"/>
      <c r="G67" s="157"/>
    </row>
    <row r="68" spans="1:7" x14ac:dyDescent="0.25">
      <c r="A68" s="94">
        <v>46027.1875</v>
      </c>
      <c r="B68" s="87">
        <v>16</v>
      </c>
      <c r="C68" s="153">
        <f t="shared" si="2"/>
        <v>74.666666661854833</v>
      </c>
      <c r="D68" s="95">
        <v>2911.9999998123385</v>
      </c>
      <c r="E68" s="158"/>
      <c r="F68" s="159"/>
      <c r="G68" s="160"/>
    </row>
    <row r="69" spans="1:7" x14ac:dyDescent="0.25">
      <c r="A69" s="94">
        <v>46028.177083333336</v>
      </c>
      <c r="B69" s="87">
        <v>16</v>
      </c>
      <c r="C69" s="153">
        <f t="shared" si="2"/>
        <v>80</v>
      </c>
      <c r="D69" s="95">
        <v>3120</v>
      </c>
      <c r="E69" s="158"/>
      <c r="F69" s="159"/>
      <c r="G69" s="160"/>
    </row>
    <row r="70" spans="1:7" x14ac:dyDescent="0.25">
      <c r="A70" s="94">
        <v>46029.180555555555</v>
      </c>
      <c r="B70" s="87">
        <v>16</v>
      </c>
      <c r="C70" s="153">
        <f t="shared" si="2"/>
        <v>78.666666637174785</v>
      </c>
      <c r="D70" s="95">
        <v>3067.9999988498166</v>
      </c>
      <c r="E70" s="158"/>
      <c r="F70" s="159"/>
      <c r="G70" s="160"/>
    </row>
    <row r="71" spans="1:7" x14ac:dyDescent="0.25">
      <c r="A71" s="94">
        <v>46030.177083333336</v>
      </c>
      <c r="B71" s="87">
        <v>14</v>
      </c>
      <c r="C71" s="153">
        <f t="shared" si="2"/>
        <v>67.50000000197906</v>
      </c>
      <c r="D71" s="95">
        <v>2632.5000000771834</v>
      </c>
      <c r="E71" s="158"/>
      <c r="F71" s="159"/>
      <c r="G71" s="160"/>
    </row>
    <row r="72" spans="1:7" x14ac:dyDescent="0.25">
      <c r="A72" s="94">
        <v>46034.177083333336</v>
      </c>
      <c r="B72" s="87">
        <v>25</v>
      </c>
      <c r="C72" s="153">
        <f t="shared" si="2"/>
        <v>119.41666665510274</v>
      </c>
      <c r="D72" s="95">
        <v>4657.249999549007</v>
      </c>
      <c r="E72" s="158"/>
      <c r="F72" s="159"/>
      <c r="G72" s="160"/>
    </row>
    <row r="73" spans="1:7" x14ac:dyDescent="0.25">
      <c r="A73" s="94">
        <v>46036.1875</v>
      </c>
      <c r="B73" s="87">
        <v>18</v>
      </c>
      <c r="C73" s="153">
        <f t="shared" si="2"/>
        <v>87.666666654520668</v>
      </c>
      <c r="D73" s="95">
        <v>3418.9999995263061</v>
      </c>
      <c r="E73" s="158"/>
      <c r="F73" s="159"/>
      <c r="G73" s="160"/>
    </row>
    <row r="74" spans="1:7" x14ac:dyDescent="0.25">
      <c r="A74" s="94">
        <v>46037.145833333336</v>
      </c>
      <c r="B74" s="87">
        <v>14</v>
      </c>
      <c r="C74" s="153">
        <f t="shared" si="2"/>
        <v>69.716666660679039</v>
      </c>
      <c r="D74" s="95">
        <v>2718.9499997664825</v>
      </c>
      <c r="E74" s="158"/>
      <c r="F74" s="159"/>
      <c r="G74" s="160"/>
    </row>
    <row r="75" spans="1:7" x14ac:dyDescent="0.25">
      <c r="A75" s="94">
        <v>46041.180555555555</v>
      </c>
      <c r="B75" s="87">
        <v>16</v>
      </c>
      <c r="C75" s="153">
        <f t="shared" si="2"/>
        <v>72.666666656732559</v>
      </c>
      <c r="D75" s="95">
        <v>2833.9999996125698</v>
      </c>
      <c r="E75" s="158"/>
      <c r="F75" s="159"/>
      <c r="G75" s="160"/>
    </row>
    <row r="76" spans="1:7" x14ac:dyDescent="0.25">
      <c r="A76" s="94">
        <v>46042.145833333336</v>
      </c>
      <c r="B76" s="87">
        <v>17</v>
      </c>
      <c r="C76" s="153">
        <f t="shared" si="2"/>
        <v>86.666666681703646</v>
      </c>
      <c r="D76" s="95">
        <v>3380.0000005864422</v>
      </c>
      <c r="E76" s="158"/>
      <c r="F76" s="159"/>
      <c r="G76" s="160"/>
    </row>
    <row r="77" spans="1:7" x14ac:dyDescent="0.25">
      <c r="A77" s="94">
        <v>46043.180555555555</v>
      </c>
      <c r="B77" s="87">
        <v>16</v>
      </c>
      <c r="C77" s="153">
        <f t="shared" si="2"/>
        <v>73.49999998457497</v>
      </c>
      <c r="D77" s="95">
        <v>2866.4999993984238</v>
      </c>
      <c r="E77" s="158"/>
      <c r="F77" s="159"/>
      <c r="G77" s="160"/>
    </row>
    <row r="78" spans="1:7" x14ac:dyDescent="0.25">
      <c r="A78" s="94">
        <v>46044.1875</v>
      </c>
      <c r="B78" s="87">
        <v>16</v>
      </c>
      <c r="C78" s="153">
        <f t="shared" si="2"/>
        <v>40.500000005704351</v>
      </c>
      <c r="D78" s="95">
        <v>1579.5000002224697</v>
      </c>
      <c r="E78" s="158"/>
      <c r="F78" s="159"/>
      <c r="G78" s="160"/>
    </row>
    <row r="79" spans="1:7" x14ac:dyDescent="0.25">
      <c r="A79" s="94">
        <v>46048.260416666664</v>
      </c>
      <c r="B79" s="87">
        <v>16</v>
      </c>
      <c r="C79" s="153">
        <f t="shared" si="2"/>
        <v>75.75</v>
      </c>
      <c r="D79" s="95">
        <v>2954.25</v>
      </c>
      <c r="E79" s="158"/>
      <c r="F79" s="159"/>
      <c r="G79" s="160"/>
    </row>
    <row r="80" spans="1:7" x14ac:dyDescent="0.25">
      <c r="A80" s="94">
        <v>46049.1875</v>
      </c>
      <c r="B80" s="87">
        <v>14</v>
      </c>
      <c r="C80" s="153">
        <f t="shared" si="2"/>
        <v>69.166666666666671</v>
      </c>
      <c r="D80" s="95">
        <v>2697.5</v>
      </c>
      <c r="E80" s="158"/>
      <c r="F80" s="159"/>
      <c r="G80" s="160"/>
    </row>
    <row r="81" spans="1:7" x14ac:dyDescent="0.25">
      <c r="A81" s="94">
        <v>46050.1875</v>
      </c>
      <c r="B81" s="87">
        <v>11</v>
      </c>
      <c r="C81" s="153">
        <f t="shared" si="2"/>
        <v>49.500000001280569</v>
      </c>
      <c r="D81" s="95">
        <v>1930.5000000499422</v>
      </c>
      <c r="E81" s="158"/>
      <c r="F81" s="159"/>
      <c r="G81" s="160"/>
    </row>
    <row r="82" spans="1:7" x14ac:dyDescent="0.25">
      <c r="A82" s="94">
        <v>46051.1875</v>
      </c>
      <c r="B82" s="87">
        <v>16</v>
      </c>
      <c r="C82" s="153">
        <f t="shared" si="2"/>
        <v>62.75</v>
      </c>
      <c r="D82" s="95">
        <v>2447.25</v>
      </c>
      <c r="E82" s="158"/>
      <c r="F82" s="159"/>
      <c r="G82" s="160"/>
    </row>
    <row r="83" spans="1:7" x14ac:dyDescent="0.25">
      <c r="A83" s="151" t="s">
        <v>428</v>
      </c>
      <c r="B83" s="151">
        <v>4</v>
      </c>
      <c r="C83" s="152">
        <f t="shared" si="2"/>
        <v>15.333333332790062</v>
      </c>
      <c r="D83" s="152">
        <v>597.99999997881241</v>
      </c>
      <c r="E83" s="155"/>
      <c r="F83" s="156"/>
      <c r="G83" s="157"/>
    </row>
    <row r="84" spans="1:7" x14ac:dyDescent="0.25">
      <c r="A84" s="94">
        <v>46050.1875</v>
      </c>
      <c r="B84" s="87">
        <v>4</v>
      </c>
      <c r="C84" s="153">
        <f t="shared" si="2"/>
        <v>15.333333332790062</v>
      </c>
      <c r="D84" s="95">
        <v>597.99999997881241</v>
      </c>
      <c r="E84" s="158"/>
      <c r="F84" s="159"/>
      <c r="G84" s="160"/>
    </row>
    <row r="85" spans="1:7" x14ac:dyDescent="0.25">
      <c r="A85" s="151" t="s">
        <v>82</v>
      </c>
      <c r="B85" s="151">
        <v>12</v>
      </c>
      <c r="C85" s="152">
        <f t="shared" si="2"/>
        <v>68.166666671982966</v>
      </c>
      <c r="D85" s="152">
        <v>2658.5000002073357</v>
      </c>
      <c r="E85" s="158"/>
      <c r="F85" s="159"/>
      <c r="G85" s="160"/>
    </row>
    <row r="86" spans="1:7" x14ac:dyDescent="0.25">
      <c r="A86" s="94" t="s">
        <v>384</v>
      </c>
      <c r="B86" s="161">
        <v>2</v>
      </c>
      <c r="C86" s="153">
        <f t="shared" si="2"/>
        <v>11.000000003259629</v>
      </c>
      <c r="D86" s="162">
        <v>429.00000012712553</v>
      </c>
      <c r="E86" s="158"/>
      <c r="F86" s="159"/>
      <c r="G86" s="160"/>
    </row>
    <row r="87" spans="1:7" x14ac:dyDescent="0.25">
      <c r="A87" s="94" t="s">
        <v>385</v>
      </c>
      <c r="B87" s="161">
        <v>2</v>
      </c>
      <c r="C87" s="153">
        <f t="shared" si="2"/>
        <v>12.000000001629815</v>
      </c>
      <c r="D87" s="162">
        <v>468.00000006356277</v>
      </c>
      <c r="E87" s="158"/>
      <c r="F87" s="159"/>
      <c r="G87" s="160"/>
    </row>
    <row r="88" spans="1:7" x14ac:dyDescent="0.25">
      <c r="A88" s="94" t="s">
        <v>388</v>
      </c>
      <c r="B88" s="161">
        <v>2</v>
      </c>
      <c r="C88" s="153">
        <f t="shared" si="2"/>
        <v>11.166666663833894</v>
      </c>
      <c r="D88" s="162">
        <v>435.49999988952186</v>
      </c>
      <c r="E88" s="158"/>
      <c r="F88" s="159"/>
      <c r="G88" s="160"/>
    </row>
    <row r="89" spans="1:7" x14ac:dyDescent="0.25">
      <c r="A89" s="94" t="s">
        <v>389</v>
      </c>
      <c r="B89" s="161">
        <v>2</v>
      </c>
      <c r="C89" s="153">
        <f t="shared" si="2"/>
        <v>11.5</v>
      </c>
      <c r="D89" s="162">
        <v>448.5</v>
      </c>
      <c r="E89" s="158"/>
      <c r="F89" s="159"/>
      <c r="G89" s="160"/>
    </row>
    <row r="90" spans="1:7" x14ac:dyDescent="0.25">
      <c r="A90" s="94" t="s">
        <v>392</v>
      </c>
      <c r="B90" s="161">
        <v>2</v>
      </c>
      <c r="C90" s="153">
        <f t="shared" si="2"/>
        <v>11.5</v>
      </c>
      <c r="D90" s="162">
        <v>448.5</v>
      </c>
      <c r="E90" s="158"/>
      <c r="F90" s="159"/>
      <c r="G90" s="160"/>
    </row>
    <row r="91" spans="1:7" x14ac:dyDescent="0.25">
      <c r="A91" s="94" t="s">
        <v>395</v>
      </c>
      <c r="B91" s="161">
        <v>2</v>
      </c>
      <c r="C91" s="153">
        <f t="shared" si="2"/>
        <v>11.000000003259629</v>
      </c>
      <c r="D91" s="162">
        <v>429.00000012712553</v>
      </c>
      <c r="E91" s="158"/>
      <c r="F91" s="159"/>
      <c r="G91" s="160"/>
    </row>
    <row r="92" spans="1:7" x14ac:dyDescent="0.25">
      <c r="A92" s="150" t="s">
        <v>407</v>
      </c>
      <c r="B92" s="163">
        <f>B85+B96+B83+B67+B51+B46+B34+B29+B17+B2</f>
        <v>717</v>
      </c>
      <c r="C92" s="152">
        <f t="shared" si="2"/>
        <v>3223.3333332444113</v>
      </c>
      <c r="D92" s="163">
        <f>D85+D96+D83+D67+D51+D46+D34+D29+D17+D2</f>
        <v>125709.99999653205</v>
      </c>
      <c r="E92" s="158"/>
      <c r="F92" s="159"/>
      <c r="G92" s="160"/>
    </row>
    <row r="93" spans="1:7" x14ac:dyDescent="0.25">
      <c r="E93" s="158"/>
      <c r="F93" s="159"/>
      <c r="G93" s="160"/>
    </row>
    <row r="94" spans="1:7" x14ac:dyDescent="0.25">
      <c r="E94" s="158"/>
      <c r="F94" s="159"/>
      <c r="G94" s="160"/>
    </row>
    <row r="96" spans="1:7" x14ac:dyDescent="0.25">
      <c r="A96" s="151" t="s">
        <v>429</v>
      </c>
      <c r="B96" s="151">
        <v>9</v>
      </c>
      <c r="C96" s="152">
        <f>D96/39</f>
        <v>41.249999998777639</v>
      </c>
      <c r="D96" s="152">
        <v>1608.7499999523279</v>
      </c>
      <c r="E96" s="158"/>
      <c r="F96" s="159"/>
      <c r="G96" s="160"/>
    </row>
    <row r="97" spans="1:7" x14ac:dyDescent="0.25">
      <c r="A97" s="94">
        <v>46027.1875</v>
      </c>
      <c r="B97" s="87">
        <v>9</v>
      </c>
      <c r="C97" s="153">
        <f>D97/39</f>
        <v>41.249999998777639</v>
      </c>
      <c r="D97" s="95">
        <v>1608.7499999523279</v>
      </c>
      <c r="E97" s="158"/>
      <c r="F97" s="159"/>
      <c r="G97" s="16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9A9F-2555-4EB4-B55D-C33FA4F1B773}">
  <sheetPr>
    <pageSetUpPr fitToPage="1"/>
  </sheetPr>
  <dimension ref="A1:L78"/>
  <sheetViews>
    <sheetView rightToLeft="1" topLeftCell="A61" workbookViewId="0">
      <selection activeCell="D59" sqref="D59"/>
    </sheetView>
  </sheetViews>
  <sheetFormatPr defaultRowHeight="13.8" x14ac:dyDescent="0.25"/>
  <cols>
    <col min="1" max="1" width="14.69921875" style="14" customWidth="1"/>
    <col min="2" max="2" width="12.69921875" customWidth="1"/>
    <col min="3" max="3" width="10.3984375" style="14" customWidth="1"/>
    <col min="4" max="4" width="13" customWidth="1"/>
    <col min="5" max="8" width="8.69921875" style="14"/>
  </cols>
  <sheetData>
    <row r="1" spans="1:12" x14ac:dyDescent="0.25">
      <c r="A1" s="133" t="s">
        <v>419</v>
      </c>
      <c r="B1" s="133" t="s">
        <v>83</v>
      </c>
      <c r="C1" s="133" t="s">
        <v>410</v>
      </c>
      <c r="D1" s="133" t="s">
        <v>411</v>
      </c>
    </row>
    <row r="2" spans="1:12" x14ac:dyDescent="0.25">
      <c r="A2" s="134" t="s">
        <v>184</v>
      </c>
      <c r="B2" s="134">
        <v>16</v>
      </c>
      <c r="C2" s="146">
        <f>D2/35</f>
        <v>90.666666668606922</v>
      </c>
      <c r="D2" s="135">
        <v>3173.3333334012423</v>
      </c>
    </row>
    <row r="3" spans="1:12" x14ac:dyDescent="0.25">
      <c r="A3" s="126" t="s">
        <v>385</v>
      </c>
      <c r="B3" s="126">
        <v>2</v>
      </c>
      <c r="C3" s="136">
        <f t="shared" ref="C3:C15" si="0">D3/35</f>
        <v>12.000000001629815</v>
      </c>
      <c r="D3" s="136">
        <v>420.00000005704351</v>
      </c>
    </row>
    <row r="4" spans="1:12" x14ac:dyDescent="0.25">
      <c r="A4" s="126" t="s">
        <v>386</v>
      </c>
      <c r="B4" s="126">
        <v>2</v>
      </c>
      <c r="C4" s="136">
        <f t="shared" si="0"/>
        <v>11.5</v>
      </c>
      <c r="D4" s="136">
        <v>402.5</v>
      </c>
    </row>
    <row r="5" spans="1:12" x14ac:dyDescent="0.25">
      <c r="A5" s="126" t="s">
        <v>389</v>
      </c>
      <c r="B5" s="126">
        <v>2</v>
      </c>
      <c r="C5" s="136">
        <f t="shared" si="0"/>
        <v>11.333333334536292</v>
      </c>
      <c r="D5" s="136">
        <v>396.66666670877021</v>
      </c>
    </row>
    <row r="6" spans="1:12" x14ac:dyDescent="0.25">
      <c r="A6" s="126" t="s">
        <v>390</v>
      </c>
      <c r="B6" s="126">
        <v>2</v>
      </c>
      <c r="C6" s="136">
        <f t="shared" si="0"/>
        <v>11.333333329646848</v>
      </c>
      <c r="D6" s="136">
        <v>396.66666653763968</v>
      </c>
    </row>
    <row r="7" spans="1:12" x14ac:dyDescent="0.25">
      <c r="A7" s="126" t="s">
        <v>393</v>
      </c>
      <c r="B7" s="126">
        <v>2</v>
      </c>
      <c r="C7" s="136">
        <f t="shared" si="0"/>
        <v>11.5</v>
      </c>
      <c r="D7" s="136">
        <v>402.5</v>
      </c>
    </row>
    <row r="8" spans="1:12" x14ac:dyDescent="0.25">
      <c r="A8" s="126" t="s">
        <v>394</v>
      </c>
      <c r="B8" s="126">
        <v>2</v>
      </c>
      <c r="C8" s="136">
        <f t="shared" si="0"/>
        <v>11.5</v>
      </c>
      <c r="D8" s="136">
        <v>402.5</v>
      </c>
    </row>
    <row r="9" spans="1:12" x14ac:dyDescent="0.25">
      <c r="A9" s="126" t="s">
        <v>397</v>
      </c>
      <c r="B9" s="126">
        <v>2</v>
      </c>
      <c r="C9" s="136">
        <f t="shared" si="0"/>
        <v>10.333333336166106</v>
      </c>
      <c r="D9" s="136">
        <v>361.66666676581372</v>
      </c>
    </row>
    <row r="10" spans="1:12" x14ac:dyDescent="0.25">
      <c r="A10" s="126" t="s">
        <v>398</v>
      </c>
      <c r="B10" s="126">
        <v>2</v>
      </c>
      <c r="C10" s="136">
        <f t="shared" si="0"/>
        <v>11.166666666627862</v>
      </c>
      <c r="D10" s="136">
        <v>390.83333333197515</v>
      </c>
      <c r="H10" s="133" t="s">
        <v>419</v>
      </c>
      <c r="I10" s="133" t="s">
        <v>83</v>
      </c>
      <c r="J10" s="133" t="s">
        <v>410</v>
      </c>
      <c r="K10" s="133" t="s">
        <v>411</v>
      </c>
    </row>
    <row r="11" spans="1:12" x14ac:dyDescent="0.25">
      <c r="A11" s="134" t="s">
        <v>242</v>
      </c>
      <c r="B11" s="134">
        <v>6</v>
      </c>
      <c r="C11" s="135">
        <f t="shared" si="0"/>
        <v>40.5</v>
      </c>
      <c r="D11" s="135">
        <v>1417.5</v>
      </c>
      <c r="H11" s="134" t="s">
        <v>189</v>
      </c>
      <c r="I11" s="134">
        <v>7</v>
      </c>
      <c r="J11" s="146">
        <f>K11/35</f>
        <v>22.750000011408702</v>
      </c>
      <c r="K11" s="135">
        <v>796.25000039930455</v>
      </c>
      <c r="L11" s="214"/>
    </row>
    <row r="12" spans="1:12" x14ac:dyDescent="0.25">
      <c r="A12" s="126" t="s">
        <v>392</v>
      </c>
      <c r="B12" s="126">
        <v>4</v>
      </c>
      <c r="C12" s="136">
        <f t="shared" si="0"/>
        <v>29</v>
      </c>
      <c r="D12" s="136">
        <v>1015</v>
      </c>
      <c r="H12" s="126" t="s">
        <v>388</v>
      </c>
      <c r="I12" s="126">
        <v>7</v>
      </c>
      <c r="J12" s="136">
        <f t="shared" ref="J12" si="1">K12/35</f>
        <v>22.750000011408702</v>
      </c>
      <c r="K12" s="136">
        <v>796.25000039930455</v>
      </c>
      <c r="L12" s="214"/>
    </row>
    <row r="13" spans="1:12" x14ac:dyDescent="0.25">
      <c r="A13" s="126" t="s">
        <v>393</v>
      </c>
      <c r="B13" s="126">
        <v>2</v>
      </c>
      <c r="C13" s="136">
        <f t="shared" si="0"/>
        <v>11.5</v>
      </c>
      <c r="D13" s="136">
        <v>402.5</v>
      </c>
      <c r="H13" s="126"/>
      <c r="I13" s="126"/>
      <c r="J13" s="136"/>
      <c r="K13" s="136"/>
      <c r="L13" s="214"/>
    </row>
    <row r="14" spans="1:12" x14ac:dyDescent="0.25">
      <c r="A14" s="169" t="s">
        <v>421</v>
      </c>
      <c r="B14" s="134">
        <v>52</v>
      </c>
      <c r="C14" s="136">
        <f t="shared" si="0"/>
        <v>59.428571428571431</v>
      </c>
      <c r="D14" s="135">
        <v>2080</v>
      </c>
      <c r="H14" s="126"/>
      <c r="I14" s="126"/>
      <c r="J14" s="136"/>
      <c r="K14" s="136"/>
      <c r="L14" s="214"/>
    </row>
    <row r="15" spans="1:12" x14ac:dyDescent="0.25">
      <c r="A15" s="126" t="s">
        <v>397</v>
      </c>
      <c r="B15" s="126">
        <v>52</v>
      </c>
      <c r="C15" s="136">
        <f t="shared" si="0"/>
        <v>59.428571428571431</v>
      </c>
      <c r="D15" s="136">
        <v>2080</v>
      </c>
      <c r="H15" s="126"/>
      <c r="I15" s="126"/>
      <c r="J15" s="136"/>
      <c r="K15" s="136"/>
    </row>
    <row r="16" spans="1:12" x14ac:dyDescent="0.25">
      <c r="A16" s="134" t="s">
        <v>334</v>
      </c>
      <c r="B16" s="134">
        <v>74</v>
      </c>
      <c r="C16" s="146">
        <f>D16/35</f>
        <v>321.750000028871</v>
      </c>
      <c r="D16" s="135">
        <v>11261.250001010485</v>
      </c>
      <c r="H16" s="126"/>
      <c r="I16" s="126"/>
      <c r="J16" s="136"/>
      <c r="K16" s="136"/>
    </row>
    <row r="17" spans="1:11" x14ac:dyDescent="0.25">
      <c r="A17" s="126" t="s">
        <v>388</v>
      </c>
      <c r="B17" s="126">
        <v>12</v>
      </c>
      <c r="C17" s="136">
        <f t="shared" ref="C17:C47" si="2">D17/35</f>
        <v>55.999999997438863</v>
      </c>
      <c r="D17" s="136">
        <v>1959.9999999103602</v>
      </c>
      <c r="H17" s="126"/>
      <c r="I17" s="126"/>
      <c r="J17" s="136"/>
      <c r="K17" s="136"/>
    </row>
    <row r="18" spans="1:11" x14ac:dyDescent="0.25">
      <c r="A18" s="126" t="s">
        <v>393</v>
      </c>
      <c r="B18" s="126">
        <v>17</v>
      </c>
      <c r="C18" s="136">
        <f t="shared" si="2"/>
        <v>76.500000013853423</v>
      </c>
      <c r="D18" s="136">
        <v>2677.5000004848698</v>
      </c>
      <c r="H18" s="126"/>
      <c r="I18" s="126"/>
      <c r="J18" s="136"/>
      <c r="K18" s="136"/>
    </row>
    <row r="19" spans="1:11" x14ac:dyDescent="0.25">
      <c r="A19" s="126" t="s">
        <v>394</v>
      </c>
      <c r="B19" s="126">
        <v>22</v>
      </c>
      <c r="C19" s="136">
        <f t="shared" si="2"/>
        <v>93.500000019208528</v>
      </c>
      <c r="D19" s="136">
        <v>3272.5000006722985</v>
      </c>
      <c r="H19" s="126"/>
      <c r="I19" s="126"/>
      <c r="J19" s="136"/>
      <c r="K19" s="136"/>
    </row>
    <row r="20" spans="1:11" x14ac:dyDescent="0.25">
      <c r="A20" s="126" t="s">
        <v>395</v>
      </c>
      <c r="B20" s="126">
        <v>8</v>
      </c>
      <c r="C20" s="136">
        <f t="shared" si="2"/>
        <v>34</v>
      </c>
      <c r="D20" s="136">
        <v>1190</v>
      </c>
    </row>
    <row r="21" spans="1:11" x14ac:dyDescent="0.25">
      <c r="A21" s="126" t="s">
        <v>414</v>
      </c>
      <c r="B21" s="126">
        <v>15</v>
      </c>
      <c r="C21" s="136">
        <f t="shared" si="2"/>
        <v>61.749999998370185</v>
      </c>
      <c r="D21" s="136">
        <v>2161.2499999429565</v>
      </c>
    </row>
    <row r="22" spans="1:11" x14ac:dyDescent="0.25">
      <c r="A22" s="134" t="s">
        <v>365</v>
      </c>
      <c r="B22" s="134">
        <v>4</v>
      </c>
      <c r="C22" s="135">
        <f t="shared" si="2"/>
        <v>17</v>
      </c>
      <c r="D22" s="135">
        <v>595</v>
      </c>
    </row>
    <row r="23" spans="1:11" x14ac:dyDescent="0.25">
      <c r="A23" s="126" t="s">
        <v>394</v>
      </c>
      <c r="B23" s="126">
        <v>4</v>
      </c>
      <c r="C23" s="136">
        <f t="shared" si="2"/>
        <v>17</v>
      </c>
      <c r="D23" s="136">
        <v>595</v>
      </c>
    </row>
    <row r="24" spans="1:11" x14ac:dyDescent="0.25">
      <c r="A24" s="134" t="s">
        <v>422</v>
      </c>
      <c r="B24" s="134">
        <v>28</v>
      </c>
      <c r="C24" s="146">
        <f t="shared" si="2"/>
        <v>135.49999999965075</v>
      </c>
      <c r="D24" s="135">
        <v>4742.4999999877764</v>
      </c>
    </row>
    <row r="25" spans="1:11" x14ac:dyDescent="0.25">
      <c r="A25" s="126" t="s">
        <v>397</v>
      </c>
      <c r="B25" s="126">
        <v>16</v>
      </c>
      <c r="C25" s="136">
        <f t="shared" si="2"/>
        <v>72.49999999825377</v>
      </c>
      <c r="D25" s="136">
        <v>2537.499999938882</v>
      </c>
    </row>
    <row r="26" spans="1:11" x14ac:dyDescent="0.25">
      <c r="A26" s="126" t="s">
        <v>398</v>
      </c>
      <c r="B26" s="126">
        <v>12</v>
      </c>
      <c r="C26" s="136">
        <f t="shared" si="2"/>
        <v>63.000000001396984</v>
      </c>
      <c r="D26" s="136">
        <v>2205.0000000488944</v>
      </c>
    </row>
    <row r="27" spans="1:11" x14ac:dyDescent="0.25">
      <c r="A27" s="134" t="s">
        <v>370</v>
      </c>
      <c r="B27" s="134">
        <v>13</v>
      </c>
      <c r="C27" s="146">
        <f t="shared" si="2"/>
        <v>68.250000010593794</v>
      </c>
      <c r="D27" s="135">
        <v>2388.7500003707828</v>
      </c>
    </row>
    <row r="28" spans="1:11" x14ac:dyDescent="0.25">
      <c r="A28" s="126" t="s">
        <v>396</v>
      </c>
      <c r="B28" s="126">
        <v>13</v>
      </c>
      <c r="C28" s="136">
        <f t="shared" si="2"/>
        <v>68.250000010593794</v>
      </c>
      <c r="D28" s="136">
        <v>2388.7500003707828</v>
      </c>
    </row>
    <row r="29" spans="1:11" x14ac:dyDescent="0.25">
      <c r="A29" s="134" t="s">
        <v>185</v>
      </c>
      <c r="B29" s="134">
        <v>113</v>
      </c>
      <c r="C29" s="135">
        <f t="shared" si="2"/>
        <v>0</v>
      </c>
      <c r="D29" s="135"/>
    </row>
    <row r="30" spans="1:11" x14ac:dyDescent="0.25">
      <c r="A30" s="126" t="s">
        <v>383</v>
      </c>
      <c r="B30" s="126">
        <v>13</v>
      </c>
      <c r="C30" s="136">
        <f t="shared" si="2"/>
        <v>0</v>
      </c>
      <c r="D30" s="136"/>
    </row>
    <row r="31" spans="1:11" x14ac:dyDescent="0.25">
      <c r="A31" s="126" t="s">
        <v>384</v>
      </c>
      <c r="B31" s="126">
        <v>17</v>
      </c>
      <c r="C31" s="136">
        <f t="shared" si="2"/>
        <v>0</v>
      </c>
      <c r="D31" s="136"/>
    </row>
    <row r="32" spans="1:11" x14ac:dyDescent="0.25">
      <c r="A32" s="126" t="s">
        <v>385</v>
      </c>
      <c r="B32" s="126">
        <v>7</v>
      </c>
      <c r="C32" s="136">
        <f t="shared" si="2"/>
        <v>0</v>
      </c>
      <c r="D32" s="136"/>
    </row>
    <row r="33" spans="1:6" x14ac:dyDescent="0.25">
      <c r="A33" s="126" t="s">
        <v>386</v>
      </c>
      <c r="B33" s="126">
        <v>20</v>
      </c>
      <c r="C33" s="136">
        <f t="shared" si="2"/>
        <v>0</v>
      </c>
      <c r="D33" s="136"/>
    </row>
    <row r="34" spans="1:6" x14ac:dyDescent="0.25">
      <c r="A34" s="126" t="s">
        <v>388</v>
      </c>
      <c r="B34" s="126">
        <v>3</v>
      </c>
      <c r="C34" s="136">
        <f t="shared" si="2"/>
        <v>0</v>
      </c>
      <c r="D34" s="136"/>
    </row>
    <row r="35" spans="1:6" x14ac:dyDescent="0.25">
      <c r="A35" s="126" t="s">
        <v>389</v>
      </c>
      <c r="B35" s="126">
        <v>10</v>
      </c>
      <c r="C35" s="136">
        <f t="shared" si="2"/>
        <v>0</v>
      </c>
      <c r="D35" s="136"/>
    </row>
    <row r="36" spans="1:6" x14ac:dyDescent="0.25">
      <c r="A36" s="126" t="s">
        <v>390</v>
      </c>
      <c r="B36" s="126">
        <v>6</v>
      </c>
      <c r="C36" s="136">
        <f t="shared" si="2"/>
        <v>0</v>
      </c>
      <c r="D36" s="136"/>
    </row>
    <row r="37" spans="1:6" x14ac:dyDescent="0.25">
      <c r="A37" s="126" t="s">
        <v>391</v>
      </c>
      <c r="B37" s="126">
        <v>11</v>
      </c>
      <c r="C37" s="136">
        <f t="shared" si="2"/>
        <v>0</v>
      </c>
      <c r="D37" s="136"/>
    </row>
    <row r="38" spans="1:6" x14ac:dyDescent="0.25">
      <c r="A38" s="126" t="s">
        <v>392</v>
      </c>
      <c r="B38" s="126">
        <v>6</v>
      </c>
      <c r="C38" s="136">
        <f t="shared" si="2"/>
        <v>0</v>
      </c>
      <c r="D38" s="136"/>
    </row>
    <row r="39" spans="1:6" x14ac:dyDescent="0.25">
      <c r="A39" s="126" t="s">
        <v>393</v>
      </c>
      <c r="B39" s="126">
        <v>8</v>
      </c>
      <c r="C39" s="136">
        <f t="shared" si="2"/>
        <v>0</v>
      </c>
      <c r="D39" s="136"/>
    </row>
    <row r="40" spans="1:6" x14ac:dyDescent="0.25">
      <c r="A40" s="126" t="s">
        <v>397</v>
      </c>
      <c r="B40" s="126">
        <v>3</v>
      </c>
      <c r="C40" s="136">
        <f t="shared" si="2"/>
        <v>0</v>
      </c>
      <c r="D40" s="136"/>
    </row>
    <row r="41" spans="1:6" x14ac:dyDescent="0.25">
      <c r="A41" s="126" t="s">
        <v>398</v>
      </c>
      <c r="B41" s="126">
        <v>9</v>
      </c>
      <c r="C41" s="136">
        <f t="shared" si="2"/>
        <v>0</v>
      </c>
      <c r="D41" s="136"/>
    </row>
    <row r="42" spans="1:6" x14ac:dyDescent="0.25">
      <c r="A42" s="134" t="s">
        <v>186</v>
      </c>
      <c r="B42" s="134">
        <v>109</v>
      </c>
      <c r="C42" s="146">
        <f t="shared" si="2"/>
        <v>435.33333338517696</v>
      </c>
      <c r="D42" s="135">
        <v>15236.666668481193</v>
      </c>
    </row>
    <row r="43" spans="1:6" x14ac:dyDescent="0.25">
      <c r="A43" s="126" t="s">
        <v>387</v>
      </c>
      <c r="B43" s="126">
        <v>20</v>
      </c>
      <c r="C43" s="136">
        <f t="shared" si="2"/>
        <v>85</v>
      </c>
      <c r="D43" s="136">
        <v>2975</v>
      </c>
    </row>
    <row r="44" spans="1:6" x14ac:dyDescent="0.25">
      <c r="A44" s="126" t="s">
        <v>395</v>
      </c>
      <c r="B44" s="126">
        <v>26</v>
      </c>
      <c r="C44" s="136">
        <f t="shared" si="2"/>
        <v>123.50000004237518</v>
      </c>
      <c r="D44" s="136">
        <v>4322.5000014831312</v>
      </c>
    </row>
    <row r="45" spans="1:6" x14ac:dyDescent="0.25">
      <c r="A45" s="126" t="s">
        <v>414</v>
      </c>
      <c r="B45" s="126">
        <v>36</v>
      </c>
      <c r="C45" s="136">
        <f t="shared" si="2"/>
        <v>126.83333334338386</v>
      </c>
      <c r="D45" s="136">
        <v>4439.166667018435</v>
      </c>
    </row>
    <row r="46" spans="1:6" x14ac:dyDescent="0.25">
      <c r="A46" s="126" t="s">
        <v>398</v>
      </c>
      <c r="B46" s="126">
        <v>12</v>
      </c>
      <c r="C46" s="136">
        <f t="shared" si="2"/>
        <v>29.999999998603016</v>
      </c>
      <c r="D46" s="136">
        <v>1049.9999999511056</v>
      </c>
    </row>
    <row r="47" spans="1:6" x14ac:dyDescent="0.25">
      <c r="A47" s="126" t="s">
        <v>399</v>
      </c>
      <c r="B47" s="126">
        <v>15</v>
      </c>
      <c r="C47" s="136">
        <f t="shared" si="2"/>
        <v>70.000000000814907</v>
      </c>
      <c r="D47" s="136">
        <v>2450.0000000285218</v>
      </c>
    </row>
    <row r="48" spans="1:6" x14ac:dyDescent="0.25">
      <c r="A48" s="134" t="s">
        <v>423</v>
      </c>
      <c r="B48" s="134">
        <v>21</v>
      </c>
      <c r="C48" s="135">
        <v>72.8</v>
      </c>
      <c r="D48" s="135">
        <f>C48*35</f>
        <v>2548</v>
      </c>
      <c r="F48" s="14">
        <f>D48/D48</f>
        <v>1</v>
      </c>
    </row>
    <row r="49" spans="1:5" x14ac:dyDescent="0.25">
      <c r="A49" s="126" t="s">
        <v>396</v>
      </c>
      <c r="B49" s="126">
        <v>21</v>
      </c>
      <c r="C49" s="135">
        <v>72.8</v>
      </c>
      <c r="D49" s="135">
        <f t="shared" ref="D49:D51" si="3">C49*35</f>
        <v>2548</v>
      </c>
    </row>
    <row r="50" spans="1:5" x14ac:dyDescent="0.25">
      <c r="A50" s="134" t="s">
        <v>481</v>
      </c>
      <c r="B50" s="134">
        <v>21</v>
      </c>
      <c r="C50" s="135">
        <v>22</v>
      </c>
      <c r="D50" s="135">
        <f t="shared" si="3"/>
        <v>770</v>
      </c>
    </row>
    <row r="51" spans="1:5" x14ac:dyDescent="0.25">
      <c r="A51" s="126" t="s">
        <v>396</v>
      </c>
      <c r="B51" s="126">
        <v>21</v>
      </c>
      <c r="C51" s="136">
        <v>22</v>
      </c>
      <c r="D51" s="135">
        <f t="shared" si="3"/>
        <v>770</v>
      </c>
    </row>
    <row r="52" spans="1:5" ht="13.95" customHeight="1" x14ac:dyDescent="0.25">
      <c r="A52" s="134" t="s">
        <v>424</v>
      </c>
      <c r="B52" s="134"/>
      <c r="C52" s="135">
        <f>D52/50</f>
        <v>386</v>
      </c>
      <c r="D52" s="135">
        <v>19300</v>
      </c>
      <c r="E52" s="217" t="s">
        <v>552</v>
      </c>
    </row>
    <row r="53" spans="1:5" x14ac:dyDescent="0.25">
      <c r="A53" s="126" t="s">
        <v>384</v>
      </c>
      <c r="B53" s="126"/>
      <c r="C53" s="136">
        <f>D53/50</f>
        <v>134</v>
      </c>
      <c r="D53" s="136">
        <v>6700</v>
      </c>
      <c r="E53" s="217" t="s">
        <v>552</v>
      </c>
    </row>
    <row r="54" spans="1:5" x14ac:dyDescent="0.25">
      <c r="A54" s="126" t="s">
        <v>385</v>
      </c>
      <c r="B54" s="126"/>
      <c r="C54" s="136">
        <f t="shared" ref="C54:C55" si="4">D54/50</f>
        <v>125</v>
      </c>
      <c r="D54" s="136">
        <v>6250</v>
      </c>
      <c r="E54" s="217" t="s">
        <v>552</v>
      </c>
    </row>
    <row r="55" spans="1:5" ht="13.95" customHeight="1" x14ac:dyDescent="0.25">
      <c r="A55" s="126" t="s">
        <v>386</v>
      </c>
      <c r="B55" s="126"/>
      <c r="C55" s="136">
        <f t="shared" si="4"/>
        <v>127</v>
      </c>
      <c r="D55" s="136">
        <v>6350</v>
      </c>
      <c r="E55" s="217" t="s">
        <v>552</v>
      </c>
    </row>
    <row r="56" spans="1:5" x14ac:dyDescent="0.25">
      <c r="A56" s="134" t="s">
        <v>327</v>
      </c>
      <c r="B56" s="134">
        <v>25</v>
      </c>
      <c r="C56" s="146">
        <f>D56/35</f>
        <v>122.74999999266583</v>
      </c>
      <c r="D56" s="135">
        <v>4296.2499997433042</v>
      </c>
    </row>
    <row r="57" spans="1:5" x14ac:dyDescent="0.25">
      <c r="A57" s="126" t="s">
        <v>394</v>
      </c>
      <c r="B57" s="126">
        <v>9</v>
      </c>
      <c r="C57" s="136">
        <f t="shared" ref="C57:C58" si="5">D57/35</f>
        <v>42.749999992665835</v>
      </c>
      <c r="D57" s="136">
        <v>1496.2499997433042</v>
      </c>
    </row>
    <row r="58" spans="1:5" x14ac:dyDescent="0.25">
      <c r="A58" s="126" t="s">
        <v>395</v>
      </c>
      <c r="B58" s="126">
        <v>16</v>
      </c>
      <c r="C58" s="136">
        <f t="shared" si="5"/>
        <v>80</v>
      </c>
      <c r="D58" s="136">
        <v>2800</v>
      </c>
    </row>
    <row r="59" spans="1:5" x14ac:dyDescent="0.25">
      <c r="A59" s="183" t="s">
        <v>425</v>
      </c>
      <c r="B59" s="134"/>
      <c r="C59" s="135"/>
      <c r="D59" s="135">
        <f>C59*230</f>
        <v>0</v>
      </c>
      <c r="E59" s="217" t="s">
        <v>552</v>
      </c>
    </row>
    <row r="60" spans="1:5" x14ac:dyDescent="0.25">
      <c r="A60" s="126" t="s">
        <v>396</v>
      </c>
      <c r="B60" s="126"/>
      <c r="C60" s="136"/>
      <c r="D60" s="136">
        <v>3450</v>
      </c>
      <c r="E60" s="217" t="s">
        <v>552</v>
      </c>
    </row>
    <row r="61" spans="1:5" x14ac:dyDescent="0.25">
      <c r="A61" s="126" t="s">
        <v>397</v>
      </c>
      <c r="B61" s="126"/>
      <c r="C61" s="136"/>
      <c r="D61" s="136">
        <v>3680</v>
      </c>
      <c r="E61" s="217" t="s">
        <v>552</v>
      </c>
    </row>
    <row r="62" spans="1:5" x14ac:dyDescent="0.25">
      <c r="A62" s="134" t="s">
        <v>426</v>
      </c>
      <c r="B62" s="134"/>
      <c r="C62" s="135"/>
      <c r="D62" s="135">
        <v>4400</v>
      </c>
      <c r="E62" s="217" t="s">
        <v>552</v>
      </c>
    </row>
    <row r="63" spans="1:5" x14ac:dyDescent="0.25">
      <c r="A63" s="126" t="s">
        <v>387</v>
      </c>
      <c r="B63" s="126"/>
      <c r="C63" s="135"/>
      <c r="D63" s="136">
        <v>1400</v>
      </c>
      <c r="E63" s="217" t="s">
        <v>552</v>
      </c>
    </row>
    <row r="64" spans="1:5" x14ac:dyDescent="0.25">
      <c r="A64" s="126" t="s">
        <v>388</v>
      </c>
      <c r="B64" s="126"/>
      <c r="C64" s="135"/>
      <c r="D64" s="136">
        <v>3000</v>
      </c>
      <c r="E64" s="217" t="s">
        <v>552</v>
      </c>
    </row>
    <row r="65" spans="1:4" x14ac:dyDescent="0.25">
      <c r="A65" s="134" t="s">
        <v>189</v>
      </c>
      <c r="B65" s="134">
        <v>7</v>
      </c>
      <c r="C65" s="146">
        <f>D65/35</f>
        <v>22.750000011408702</v>
      </c>
      <c r="D65" s="135">
        <v>796.25000039930455</v>
      </c>
    </row>
    <row r="66" spans="1:4" x14ac:dyDescent="0.25">
      <c r="A66" s="126" t="s">
        <v>388</v>
      </c>
      <c r="B66" s="126">
        <v>7</v>
      </c>
      <c r="C66" s="136">
        <f t="shared" ref="C66:C73" si="6">D66/35</f>
        <v>22.750000011408702</v>
      </c>
      <c r="D66" s="136">
        <v>796.25000039930455</v>
      </c>
    </row>
    <row r="67" spans="1:4" x14ac:dyDescent="0.25">
      <c r="A67" s="134" t="s">
        <v>260</v>
      </c>
      <c r="B67" s="134">
        <v>8</v>
      </c>
      <c r="C67" s="146">
        <f t="shared" si="6"/>
        <v>32.666666665812954</v>
      </c>
      <c r="D67" s="135">
        <v>1143.3333333034534</v>
      </c>
    </row>
    <row r="68" spans="1:4" x14ac:dyDescent="0.25">
      <c r="A68" s="126" t="s">
        <v>386</v>
      </c>
      <c r="B68" s="126">
        <v>2</v>
      </c>
      <c r="C68" s="136">
        <f t="shared" si="6"/>
        <v>8.5</v>
      </c>
      <c r="D68" s="136">
        <v>297.5</v>
      </c>
    </row>
    <row r="69" spans="1:4" x14ac:dyDescent="0.25">
      <c r="A69" s="126" t="s">
        <v>390</v>
      </c>
      <c r="B69" s="126">
        <v>2</v>
      </c>
      <c r="C69" s="136">
        <f t="shared" si="6"/>
        <v>8.6666666654637083</v>
      </c>
      <c r="D69" s="136">
        <v>303.33333329122979</v>
      </c>
    </row>
    <row r="70" spans="1:4" x14ac:dyDescent="0.25">
      <c r="A70" s="126" t="s">
        <v>394</v>
      </c>
      <c r="B70" s="126">
        <v>2</v>
      </c>
      <c r="C70" s="136">
        <f t="shared" si="6"/>
        <v>7.6666666670935228</v>
      </c>
      <c r="D70" s="136">
        <v>268.3333333482733</v>
      </c>
    </row>
    <row r="71" spans="1:4" x14ac:dyDescent="0.25">
      <c r="A71" s="126" t="s">
        <v>398</v>
      </c>
      <c r="B71" s="126">
        <v>2</v>
      </c>
      <c r="C71" s="136">
        <f t="shared" si="6"/>
        <v>7.8333333332557231</v>
      </c>
      <c r="D71" s="136">
        <v>274.16666666395031</v>
      </c>
    </row>
    <row r="72" spans="1:4" x14ac:dyDescent="0.25">
      <c r="A72" s="134" t="s">
        <v>190</v>
      </c>
      <c r="B72" s="134">
        <v>2</v>
      </c>
      <c r="C72" s="146">
        <f t="shared" si="6"/>
        <v>8.3333333345362917</v>
      </c>
      <c r="D72" s="135">
        <v>291.66666670877021</v>
      </c>
    </row>
    <row r="73" spans="1:4" x14ac:dyDescent="0.25">
      <c r="A73" s="126" t="s">
        <v>393</v>
      </c>
      <c r="B73" s="126">
        <v>2</v>
      </c>
      <c r="C73" s="136">
        <f t="shared" si="6"/>
        <v>8.3333333345362917</v>
      </c>
      <c r="D73" s="136">
        <v>291.66666670877021</v>
      </c>
    </row>
    <row r="74" spans="1:4" x14ac:dyDescent="0.25">
      <c r="A74" s="133" t="s">
        <v>407</v>
      </c>
      <c r="B74" s="133">
        <v>426</v>
      </c>
      <c r="C74" s="143"/>
      <c r="D74" s="170"/>
    </row>
    <row r="75" spans="1:4" x14ac:dyDescent="0.25">
      <c r="D75" s="149">
        <f>D2+D11+D14+D16+D22+D24+D27+D42+D48+D50+D52+D56+D59+D62+D72+D65+D67</f>
        <v>74440.500003406312</v>
      </c>
    </row>
    <row r="76" spans="1:4" x14ac:dyDescent="0.25">
      <c r="D76" s="149"/>
    </row>
    <row r="78" spans="1:4" x14ac:dyDescent="0.25">
      <c r="D78" s="148"/>
    </row>
  </sheetData>
  <mergeCells count="1">
    <mergeCell ref="L11:L14"/>
  </mergeCells>
  <pageMargins left="0.25" right="0.25" top="0.75" bottom="0.75" header="0.3" footer="0.3"/>
  <pageSetup paperSize="9" scale="8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6D7E-7FFF-48C5-A0DF-2DFA1CCA3C64}">
  <sheetPr>
    <pageSetUpPr fitToPage="1"/>
  </sheetPr>
  <dimension ref="A1:J64"/>
  <sheetViews>
    <sheetView rightToLeft="1" topLeftCell="A55" workbookViewId="0">
      <selection activeCell="F23" sqref="F23"/>
    </sheetView>
  </sheetViews>
  <sheetFormatPr defaultRowHeight="13.8" x14ac:dyDescent="0.25"/>
  <cols>
    <col min="1" max="1" width="19.19921875" customWidth="1"/>
    <col min="2" max="2" width="11.3984375" customWidth="1"/>
    <col min="3" max="3" width="10.69921875" customWidth="1"/>
    <col min="4" max="4" width="11.3984375" customWidth="1"/>
    <col min="5" max="5" width="8.69921875" style="25"/>
  </cols>
  <sheetData>
    <row r="1" spans="1:10" x14ac:dyDescent="0.25">
      <c r="A1" s="133" t="s">
        <v>408</v>
      </c>
      <c r="B1" s="142" t="s">
        <v>409</v>
      </c>
      <c r="C1" s="142" t="s">
        <v>410</v>
      </c>
      <c r="D1" s="142" t="s">
        <v>411</v>
      </c>
      <c r="E1"/>
      <c r="G1" s="133" t="s">
        <v>408</v>
      </c>
      <c r="H1" s="142" t="s">
        <v>409</v>
      </c>
      <c r="I1" s="142" t="s">
        <v>410</v>
      </c>
      <c r="J1" s="142" t="s">
        <v>411</v>
      </c>
    </row>
    <row r="2" spans="1:10" x14ac:dyDescent="0.25">
      <c r="A2" s="134" t="s">
        <v>412</v>
      </c>
      <c r="B2" s="137">
        <v>48</v>
      </c>
      <c r="C2" s="171">
        <f>D2/36</f>
        <v>195.41666666666669</v>
      </c>
      <c r="D2" s="138">
        <v>7035.0000000000009</v>
      </c>
      <c r="E2"/>
      <c r="G2" s="134" t="s">
        <v>313</v>
      </c>
      <c r="H2" s="137">
        <v>14</v>
      </c>
      <c r="I2" s="171">
        <f t="shared" ref="I2:I4" si="0">J2/36</f>
        <v>63.833333334885538</v>
      </c>
      <c r="J2" s="138">
        <v>2298.0000000558794</v>
      </c>
    </row>
    <row r="3" spans="1:10" x14ac:dyDescent="0.25">
      <c r="A3" s="126" t="s">
        <v>396</v>
      </c>
      <c r="B3" s="42">
        <v>16</v>
      </c>
      <c r="C3" s="172">
        <f t="shared" ref="C3:C62" si="1">D3/36</f>
        <v>56.250000000000007</v>
      </c>
      <c r="D3" s="139">
        <v>2025.0000000000002</v>
      </c>
      <c r="E3"/>
      <c r="G3" s="126" t="s">
        <v>397</v>
      </c>
      <c r="H3" s="42">
        <v>6</v>
      </c>
      <c r="I3" s="172">
        <f t="shared" si="0"/>
        <v>24.833333332906477</v>
      </c>
      <c r="J3" s="139">
        <v>893.99999998463318</v>
      </c>
    </row>
    <row r="4" spans="1:10" x14ac:dyDescent="0.25">
      <c r="A4" s="126" t="s">
        <v>398</v>
      </c>
      <c r="B4" s="42">
        <v>16</v>
      </c>
      <c r="C4" s="172">
        <f t="shared" si="1"/>
        <v>72.166666666666686</v>
      </c>
      <c r="D4" s="139">
        <v>2598.0000000000005</v>
      </c>
      <c r="E4"/>
      <c r="G4" s="126" t="s">
        <v>398</v>
      </c>
      <c r="H4" s="42">
        <v>8</v>
      </c>
      <c r="I4" s="172">
        <f t="shared" si="0"/>
        <v>39.00000000197906</v>
      </c>
      <c r="J4" s="139">
        <v>1404.0000000712462</v>
      </c>
    </row>
    <row r="5" spans="1:10" x14ac:dyDescent="0.25">
      <c r="A5" s="126" t="s">
        <v>399</v>
      </c>
      <c r="B5" s="42">
        <v>16</v>
      </c>
      <c r="C5" s="172">
        <f t="shared" si="1"/>
        <v>67</v>
      </c>
      <c r="D5" s="139">
        <v>2412</v>
      </c>
      <c r="E5"/>
      <c r="G5" s="126"/>
      <c r="H5" s="42"/>
      <c r="I5" s="172"/>
      <c r="J5" s="139"/>
    </row>
    <row r="6" spans="1:10" x14ac:dyDescent="0.25">
      <c r="A6" s="134" t="s">
        <v>229</v>
      </c>
      <c r="B6" s="137">
        <v>9</v>
      </c>
      <c r="C6" s="171">
        <f t="shared" si="1"/>
        <v>32.916666657314636</v>
      </c>
      <c r="D6" s="138">
        <v>1184.9999996633269</v>
      </c>
      <c r="E6"/>
      <c r="G6" s="126"/>
      <c r="H6" s="42"/>
      <c r="I6" s="172"/>
      <c r="J6" s="139"/>
    </row>
    <row r="7" spans="1:10" x14ac:dyDescent="0.25">
      <c r="A7" s="126" t="s">
        <v>384</v>
      </c>
      <c r="B7" s="42">
        <v>9</v>
      </c>
      <c r="C7" s="172">
        <f t="shared" si="1"/>
        <v>32.916666657314636</v>
      </c>
      <c r="D7" s="139">
        <v>1184.9999996633269</v>
      </c>
      <c r="E7"/>
      <c r="G7" s="126"/>
      <c r="H7" s="42"/>
      <c r="I7" s="172"/>
      <c r="J7" s="139"/>
    </row>
    <row r="8" spans="1:10" x14ac:dyDescent="0.25">
      <c r="A8" s="134" t="s">
        <v>272</v>
      </c>
      <c r="B8" s="137">
        <v>141</v>
      </c>
      <c r="C8" s="171">
        <f t="shared" si="1"/>
        <v>618.49999999254942</v>
      </c>
      <c r="D8" s="138">
        <v>22265.999999731779</v>
      </c>
      <c r="E8"/>
      <c r="G8" s="126"/>
      <c r="H8" s="42"/>
      <c r="I8" s="172"/>
      <c r="J8" s="139"/>
    </row>
    <row r="9" spans="1:10" x14ac:dyDescent="0.25">
      <c r="A9" s="126" t="s">
        <v>383</v>
      </c>
      <c r="B9" s="42">
        <v>18</v>
      </c>
      <c r="C9" s="172">
        <f t="shared" si="1"/>
        <v>87.499999972991645</v>
      </c>
      <c r="D9" s="139">
        <v>3149.9999990276992</v>
      </c>
      <c r="E9"/>
      <c r="G9" s="126"/>
      <c r="H9" s="42"/>
      <c r="I9" s="172"/>
      <c r="J9" s="139"/>
    </row>
    <row r="10" spans="1:10" x14ac:dyDescent="0.25">
      <c r="A10" s="126" t="s">
        <v>384</v>
      </c>
      <c r="B10" s="42">
        <v>24</v>
      </c>
      <c r="C10" s="172">
        <f t="shared" si="1"/>
        <v>81.833333356829826</v>
      </c>
      <c r="D10" s="139">
        <v>2946.0000008458737</v>
      </c>
      <c r="E10"/>
      <c r="G10" s="126"/>
      <c r="H10" s="42"/>
      <c r="I10" s="172"/>
      <c r="J10" s="139"/>
    </row>
    <row r="11" spans="1:10" x14ac:dyDescent="0.25">
      <c r="A11" s="126" t="s">
        <v>385</v>
      </c>
      <c r="B11" s="42">
        <v>16</v>
      </c>
      <c r="C11" s="172">
        <f t="shared" si="1"/>
        <v>65.999999991559889</v>
      </c>
      <c r="D11" s="139">
        <v>2375.999999696156</v>
      </c>
      <c r="E11"/>
      <c r="G11" s="126"/>
      <c r="H11" s="42"/>
      <c r="I11" s="172"/>
      <c r="J11" s="139"/>
    </row>
    <row r="12" spans="1:10" x14ac:dyDescent="0.25">
      <c r="A12" s="126" t="s">
        <v>386</v>
      </c>
      <c r="B12" s="42">
        <v>9</v>
      </c>
      <c r="C12" s="172">
        <f t="shared" si="1"/>
        <v>41.749999998835847</v>
      </c>
      <c r="D12" s="139">
        <v>1502.9999999580905</v>
      </c>
      <c r="E12"/>
      <c r="G12" s="126"/>
      <c r="H12" s="42"/>
      <c r="I12" s="172"/>
      <c r="J12" s="139"/>
    </row>
    <row r="13" spans="1:10" x14ac:dyDescent="0.25">
      <c r="A13" s="126" t="s">
        <v>387</v>
      </c>
      <c r="B13" s="42">
        <v>8</v>
      </c>
      <c r="C13" s="172">
        <f t="shared" si="1"/>
        <v>38.833333321672399</v>
      </c>
      <c r="D13" s="139">
        <v>1397.9999995802063</v>
      </c>
      <c r="E13"/>
      <c r="G13" s="126"/>
      <c r="H13" s="42"/>
      <c r="I13" s="172"/>
      <c r="J13" s="139"/>
    </row>
    <row r="14" spans="1:10" x14ac:dyDescent="0.25">
      <c r="A14" s="126" t="s">
        <v>388</v>
      </c>
      <c r="B14" s="42">
        <v>9</v>
      </c>
      <c r="C14" s="172">
        <f t="shared" si="1"/>
        <v>42.833333336922806</v>
      </c>
      <c r="D14" s="139">
        <v>1542.000000129221</v>
      </c>
      <c r="E14"/>
      <c r="G14" s="126"/>
      <c r="H14" s="42"/>
      <c r="I14" s="172"/>
      <c r="J14" s="139"/>
    </row>
    <row r="15" spans="1:10" x14ac:dyDescent="0.25">
      <c r="A15" s="126" t="s">
        <v>392</v>
      </c>
      <c r="B15" s="42">
        <v>9</v>
      </c>
      <c r="C15" s="172">
        <f t="shared" si="1"/>
        <v>37.916666663310025</v>
      </c>
      <c r="D15" s="139">
        <v>1364.9999998791609</v>
      </c>
      <c r="E15"/>
    </row>
    <row r="16" spans="1:10" x14ac:dyDescent="0.25">
      <c r="A16" s="126" t="s">
        <v>394</v>
      </c>
      <c r="B16" s="42">
        <v>18</v>
      </c>
      <c r="C16" s="172">
        <f t="shared" si="1"/>
        <v>90.333333357819356</v>
      </c>
      <c r="D16" s="139">
        <v>3252.0000008814968</v>
      </c>
      <c r="E16"/>
    </row>
    <row r="17" spans="1:5" x14ac:dyDescent="0.25">
      <c r="A17" s="126" t="s">
        <v>395</v>
      </c>
      <c r="B17" s="42">
        <v>8</v>
      </c>
      <c r="C17" s="172">
        <f t="shared" si="1"/>
        <v>35.666666663542856</v>
      </c>
      <c r="D17" s="139">
        <v>1283.9999998875428</v>
      </c>
      <c r="E17"/>
    </row>
    <row r="18" spans="1:5" x14ac:dyDescent="0.25">
      <c r="A18" s="126" t="s">
        <v>396</v>
      </c>
      <c r="B18" s="42">
        <v>8</v>
      </c>
      <c r="C18" s="172">
        <f t="shared" si="1"/>
        <v>37.333333330927417</v>
      </c>
      <c r="D18" s="139">
        <v>1343.999999913387</v>
      </c>
      <c r="E18"/>
    </row>
    <row r="19" spans="1:5" x14ac:dyDescent="0.25">
      <c r="A19" s="126" t="s">
        <v>398</v>
      </c>
      <c r="B19" s="42">
        <v>7</v>
      </c>
      <c r="C19" s="172">
        <f t="shared" si="1"/>
        <v>25.16666667163372</v>
      </c>
      <c r="D19" s="139">
        <v>906.00000017881393</v>
      </c>
      <c r="E19"/>
    </row>
    <row r="20" spans="1:5" x14ac:dyDescent="0.25">
      <c r="A20" s="126" t="s">
        <v>399</v>
      </c>
      <c r="B20" s="42">
        <v>7</v>
      </c>
      <c r="C20" s="172">
        <f t="shared" si="1"/>
        <v>33.333333326503634</v>
      </c>
      <c r="D20" s="139">
        <v>1199.9999997541308</v>
      </c>
      <c r="E20"/>
    </row>
    <row r="21" spans="1:5" x14ac:dyDescent="0.25">
      <c r="A21" s="134" t="s">
        <v>413</v>
      </c>
      <c r="B21" s="137">
        <v>16</v>
      </c>
      <c r="C21" s="171">
        <f t="shared" si="1"/>
        <v>66.833333333333329</v>
      </c>
      <c r="D21" s="138">
        <v>2406</v>
      </c>
      <c r="E21"/>
    </row>
    <row r="22" spans="1:5" x14ac:dyDescent="0.25">
      <c r="A22" s="126" t="s">
        <v>397</v>
      </c>
      <c r="B22" s="42">
        <v>7</v>
      </c>
      <c r="C22" s="172">
        <f t="shared" si="1"/>
        <v>25.083333333333329</v>
      </c>
      <c r="D22" s="139">
        <v>902.99999999999989</v>
      </c>
      <c r="E22"/>
    </row>
    <row r="23" spans="1:5" x14ac:dyDescent="0.25">
      <c r="A23" s="126" t="s">
        <v>399</v>
      </c>
      <c r="B23" s="42">
        <v>9</v>
      </c>
      <c r="C23" s="172">
        <f t="shared" si="1"/>
        <v>41.750000000000007</v>
      </c>
      <c r="D23" s="139">
        <v>1503.0000000000002</v>
      </c>
      <c r="E23"/>
    </row>
    <row r="24" spans="1:5" x14ac:dyDescent="0.25">
      <c r="A24" s="134" t="s">
        <v>353</v>
      </c>
      <c r="B24" s="137">
        <v>128</v>
      </c>
      <c r="C24" s="171">
        <f t="shared" si="1"/>
        <v>524.41666666849051</v>
      </c>
      <c r="D24" s="138">
        <v>18879.000000065658</v>
      </c>
      <c r="E24"/>
    </row>
    <row r="25" spans="1:5" x14ac:dyDescent="0.25">
      <c r="A25" s="126" t="s">
        <v>388</v>
      </c>
      <c r="B25" s="42">
        <v>11</v>
      </c>
      <c r="C25" s="172">
        <f t="shared" si="1"/>
        <v>41.999999994295649</v>
      </c>
      <c r="D25" s="139">
        <v>1511.9999997946434</v>
      </c>
      <c r="E25"/>
    </row>
    <row r="26" spans="1:5" x14ac:dyDescent="0.25">
      <c r="A26" s="126" t="s">
        <v>391</v>
      </c>
      <c r="B26" s="42">
        <v>32</v>
      </c>
      <c r="C26" s="172">
        <f t="shared" si="1"/>
        <v>123.33333335560746</v>
      </c>
      <c r="D26" s="139">
        <v>4440.0000008018687</v>
      </c>
      <c r="E26"/>
    </row>
    <row r="27" spans="1:5" x14ac:dyDescent="0.25">
      <c r="A27" s="126" t="s">
        <v>393</v>
      </c>
      <c r="B27" s="42">
        <v>3</v>
      </c>
      <c r="C27" s="172">
        <f t="shared" si="1"/>
        <v>12.999999998195563</v>
      </c>
      <c r="D27" s="139">
        <v>467.99999993504025</v>
      </c>
      <c r="E27"/>
    </row>
    <row r="28" spans="1:5" x14ac:dyDescent="0.25">
      <c r="A28" s="126" t="s">
        <v>394</v>
      </c>
      <c r="B28" s="42">
        <v>16</v>
      </c>
      <c r="C28" s="172">
        <f t="shared" si="1"/>
        <v>64.666666667675599</v>
      </c>
      <c r="D28" s="139">
        <v>2328.0000000363216</v>
      </c>
      <c r="E28"/>
    </row>
    <row r="29" spans="1:5" x14ac:dyDescent="0.25">
      <c r="A29" s="126" t="s">
        <v>395</v>
      </c>
      <c r="B29" s="42">
        <v>17</v>
      </c>
      <c r="C29" s="172">
        <f t="shared" si="1"/>
        <v>74.249999979278073</v>
      </c>
      <c r="D29" s="139">
        <v>2672.9999992540106</v>
      </c>
      <c r="E29"/>
    </row>
    <row r="30" spans="1:5" x14ac:dyDescent="0.25">
      <c r="A30" s="126" t="s">
        <v>414</v>
      </c>
      <c r="B30" s="42">
        <v>15</v>
      </c>
      <c r="C30" s="172">
        <f t="shared" si="1"/>
        <v>62.916666659584735</v>
      </c>
      <c r="D30" s="139">
        <v>2264.9999997450504</v>
      </c>
      <c r="E30"/>
    </row>
    <row r="31" spans="1:5" x14ac:dyDescent="0.25">
      <c r="A31" s="126" t="s">
        <v>396</v>
      </c>
      <c r="B31" s="42">
        <v>11</v>
      </c>
      <c r="C31" s="172">
        <f t="shared" si="1"/>
        <v>40.333333338436205</v>
      </c>
      <c r="D31" s="139">
        <v>1452.0000001837034</v>
      </c>
      <c r="E31"/>
    </row>
    <row r="32" spans="1:5" x14ac:dyDescent="0.25">
      <c r="A32" s="126" t="s">
        <v>397</v>
      </c>
      <c r="B32" s="42">
        <v>12</v>
      </c>
      <c r="C32" s="172">
        <f t="shared" si="1"/>
        <v>56.333333347225562</v>
      </c>
      <c r="D32" s="139">
        <v>2028.0000005001202</v>
      </c>
      <c r="E32"/>
    </row>
    <row r="33" spans="1:5" x14ac:dyDescent="0.25">
      <c r="A33" s="126" t="s">
        <v>399</v>
      </c>
      <c r="B33" s="42">
        <v>11</v>
      </c>
      <c r="C33" s="172">
        <f t="shared" si="1"/>
        <v>47.583333328191657</v>
      </c>
      <c r="D33" s="139">
        <v>1712.9999998148996</v>
      </c>
      <c r="E33"/>
    </row>
    <row r="34" spans="1:5" x14ac:dyDescent="0.25">
      <c r="A34" s="134" t="s">
        <v>269</v>
      </c>
      <c r="B34" s="137">
        <v>27</v>
      </c>
      <c r="C34" s="171">
        <f t="shared" si="1"/>
        <v>115.58333334332565</v>
      </c>
      <c r="D34" s="138">
        <v>4161.0000003597233</v>
      </c>
      <c r="E34"/>
    </row>
    <row r="35" spans="1:5" x14ac:dyDescent="0.25">
      <c r="A35" s="126" t="s">
        <v>386</v>
      </c>
      <c r="B35" s="42">
        <v>7</v>
      </c>
      <c r="C35" s="172">
        <f t="shared" si="1"/>
        <v>29.500000000000007</v>
      </c>
      <c r="D35" s="139">
        <v>1062.0000000000002</v>
      </c>
      <c r="E35"/>
    </row>
    <row r="36" spans="1:5" x14ac:dyDescent="0.25">
      <c r="A36" s="126" t="s">
        <v>388</v>
      </c>
      <c r="B36" s="42">
        <v>5</v>
      </c>
      <c r="C36" s="172">
        <f t="shared" si="1"/>
        <v>19.250000000814907</v>
      </c>
      <c r="D36" s="139">
        <v>693.00000002933666</v>
      </c>
      <c r="E36"/>
    </row>
    <row r="37" spans="1:5" x14ac:dyDescent="0.25">
      <c r="A37" s="126" t="s">
        <v>394</v>
      </c>
      <c r="B37" s="42">
        <v>5</v>
      </c>
      <c r="C37" s="172">
        <f t="shared" si="1"/>
        <v>19.333333338436205</v>
      </c>
      <c r="D37" s="139">
        <v>696.00000018370338</v>
      </c>
      <c r="E37"/>
    </row>
    <row r="38" spans="1:5" x14ac:dyDescent="0.25">
      <c r="A38" s="126" t="s">
        <v>396</v>
      </c>
      <c r="B38" s="42">
        <v>5</v>
      </c>
      <c r="C38" s="172">
        <f t="shared" si="1"/>
        <v>23.750000008149073</v>
      </c>
      <c r="D38" s="139">
        <v>855.00000029336661</v>
      </c>
      <c r="E38"/>
    </row>
    <row r="39" spans="1:5" x14ac:dyDescent="0.25">
      <c r="A39" s="126" t="s">
        <v>397</v>
      </c>
      <c r="B39" s="42">
        <v>5</v>
      </c>
      <c r="C39" s="172">
        <f t="shared" si="1"/>
        <v>23.749999995925464</v>
      </c>
      <c r="D39" s="139">
        <v>854.99999985331669</v>
      </c>
      <c r="E39"/>
    </row>
    <row r="40" spans="1:5" x14ac:dyDescent="0.25">
      <c r="A40" s="134" t="s">
        <v>415</v>
      </c>
      <c r="B40" s="137">
        <v>12</v>
      </c>
      <c r="C40" s="171">
        <f t="shared" si="1"/>
        <v>66.750000000000014</v>
      </c>
      <c r="D40" s="138">
        <v>2403.0000000000005</v>
      </c>
      <c r="E40"/>
    </row>
    <row r="41" spans="1:5" x14ac:dyDescent="0.25">
      <c r="A41" s="126" t="s">
        <v>387</v>
      </c>
      <c r="B41" s="42">
        <v>12</v>
      </c>
      <c r="C41" s="172">
        <f t="shared" si="1"/>
        <v>66.750000000000014</v>
      </c>
      <c r="D41" s="139">
        <v>2403.0000000000005</v>
      </c>
      <c r="E41"/>
    </row>
    <row r="42" spans="1:5" x14ac:dyDescent="0.25">
      <c r="A42" s="134" t="s">
        <v>416</v>
      </c>
      <c r="B42" s="137">
        <v>6</v>
      </c>
      <c r="C42" s="171">
        <f t="shared" si="1"/>
        <v>9.1000000000000014</v>
      </c>
      <c r="D42" s="138">
        <v>327.60000000000008</v>
      </c>
      <c r="E42"/>
    </row>
    <row r="43" spans="1:5" x14ac:dyDescent="0.25">
      <c r="A43" s="126" t="s">
        <v>396</v>
      </c>
      <c r="B43" s="42">
        <v>6</v>
      </c>
      <c r="C43" s="172">
        <f t="shared" si="1"/>
        <v>9.1000000000000014</v>
      </c>
      <c r="D43" s="139">
        <v>327.60000000000008</v>
      </c>
      <c r="E43"/>
    </row>
    <row r="44" spans="1:5" x14ac:dyDescent="0.25">
      <c r="A44" s="134" t="s">
        <v>417</v>
      </c>
      <c r="B44" s="137">
        <v>18</v>
      </c>
      <c r="C44" s="171">
        <f>D44/50</f>
        <v>175</v>
      </c>
      <c r="D44" s="138">
        <v>8750</v>
      </c>
      <c r="E44"/>
    </row>
    <row r="45" spans="1:5" x14ac:dyDescent="0.25">
      <c r="A45" s="126" t="s">
        <v>385</v>
      </c>
      <c r="B45" s="140"/>
      <c r="C45" s="171">
        <f t="shared" ref="C45:C47" si="2">D45/50</f>
        <v>72</v>
      </c>
      <c r="D45" s="141">
        <v>3600</v>
      </c>
      <c r="E45" s="215" t="s">
        <v>418</v>
      </c>
    </row>
    <row r="46" spans="1:5" x14ac:dyDescent="0.25">
      <c r="A46" s="126" t="s">
        <v>386</v>
      </c>
      <c r="B46" s="140"/>
      <c r="C46" s="171">
        <f t="shared" si="2"/>
        <v>55</v>
      </c>
      <c r="D46" s="141">
        <v>2750</v>
      </c>
      <c r="E46" s="216"/>
    </row>
    <row r="47" spans="1:5" x14ac:dyDescent="0.25">
      <c r="A47" s="126" t="s">
        <v>387</v>
      </c>
      <c r="B47" s="140"/>
      <c r="C47" s="171">
        <f t="shared" si="2"/>
        <v>48</v>
      </c>
      <c r="D47" s="141">
        <v>2400</v>
      </c>
      <c r="E47" s="216"/>
    </row>
    <row r="48" spans="1:5" x14ac:dyDescent="0.25">
      <c r="A48" s="134" t="s">
        <v>208</v>
      </c>
      <c r="B48" s="137">
        <v>63</v>
      </c>
      <c r="C48" s="171">
        <f t="shared" si="1"/>
        <v>272.16666665312368</v>
      </c>
      <c r="D48" s="138">
        <v>9797.9999995124526</v>
      </c>
      <c r="E48"/>
    </row>
    <row r="49" spans="1:5" x14ac:dyDescent="0.25">
      <c r="A49" s="126" t="s">
        <v>385</v>
      </c>
      <c r="B49" s="42">
        <v>7</v>
      </c>
      <c r="C49" s="172">
        <f t="shared" si="1"/>
        <v>29.75</v>
      </c>
      <c r="D49" s="139">
        <v>1071</v>
      </c>
      <c r="E49"/>
    </row>
    <row r="50" spans="1:5" x14ac:dyDescent="0.25">
      <c r="A50" s="126" t="s">
        <v>386</v>
      </c>
      <c r="B50" s="42">
        <v>14</v>
      </c>
      <c r="C50" s="172">
        <f t="shared" si="1"/>
        <v>67.499999998486601</v>
      </c>
      <c r="D50" s="139">
        <v>2429.9999999455176</v>
      </c>
      <c r="E50"/>
    </row>
    <row r="51" spans="1:5" x14ac:dyDescent="0.25">
      <c r="A51" s="126" t="s">
        <v>387</v>
      </c>
      <c r="B51" s="42">
        <v>14</v>
      </c>
      <c r="C51" s="172">
        <f t="shared" si="1"/>
        <v>54.999999994761311</v>
      </c>
      <c r="D51" s="139">
        <v>1979.9999998114072</v>
      </c>
      <c r="E51"/>
    </row>
    <row r="52" spans="1:5" x14ac:dyDescent="0.25">
      <c r="A52" s="126" t="s">
        <v>388</v>
      </c>
      <c r="B52" s="42">
        <v>13</v>
      </c>
      <c r="C52" s="172">
        <f t="shared" si="1"/>
        <v>60.000000000465661</v>
      </c>
      <c r="D52" s="139">
        <v>2160.0000000167638</v>
      </c>
      <c r="E52"/>
    </row>
    <row r="53" spans="1:5" x14ac:dyDescent="0.25">
      <c r="A53" s="126" t="s">
        <v>396</v>
      </c>
      <c r="B53" s="42">
        <v>7</v>
      </c>
      <c r="C53" s="172">
        <f t="shared" si="1"/>
        <v>26.583333326678257</v>
      </c>
      <c r="D53" s="139">
        <v>956.99999976041727</v>
      </c>
      <c r="E53"/>
    </row>
    <row r="54" spans="1:5" x14ac:dyDescent="0.25">
      <c r="A54" s="126" t="s">
        <v>397</v>
      </c>
      <c r="B54" s="42">
        <v>8</v>
      </c>
      <c r="C54" s="172">
        <f t="shared" si="1"/>
        <v>33.333333332731854</v>
      </c>
      <c r="D54" s="139">
        <v>1199.9999999783468</v>
      </c>
      <c r="E54"/>
    </row>
    <row r="55" spans="1:5" x14ac:dyDescent="0.25">
      <c r="A55" s="134" t="s">
        <v>375</v>
      </c>
      <c r="B55" s="137">
        <v>80</v>
      </c>
      <c r="C55" s="171">
        <f t="shared" si="1"/>
        <v>316.41666665632511</v>
      </c>
      <c r="D55" s="138">
        <v>11390.999999627704</v>
      </c>
      <c r="E55"/>
    </row>
    <row r="56" spans="1:5" x14ac:dyDescent="0.25">
      <c r="A56" s="126" t="s">
        <v>393</v>
      </c>
      <c r="B56" s="42">
        <v>9</v>
      </c>
      <c r="C56" s="172">
        <f t="shared" si="1"/>
        <v>33.750000004889444</v>
      </c>
      <c r="D56" s="139">
        <v>1215.00000017602</v>
      </c>
      <c r="E56"/>
    </row>
    <row r="57" spans="1:5" x14ac:dyDescent="0.25">
      <c r="A57" s="126" t="s">
        <v>394</v>
      </c>
      <c r="B57" s="42">
        <v>14</v>
      </c>
      <c r="C57" s="172">
        <f t="shared" si="1"/>
        <v>57.500000001338776</v>
      </c>
      <c r="D57" s="139">
        <v>2070.0000000481959</v>
      </c>
      <c r="E57"/>
    </row>
    <row r="58" spans="1:5" x14ac:dyDescent="0.25">
      <c r="A58" s="126" t="s">
        <v>395</v>
      </c>
      <c r="B58" s="42">
        <v>19</v>
      </c>
      <c r="C58" s="172">
        <f t="shared" si="1"/>
        <v>53.833333321905229</v>
      </c>
      <c r="D58" s="139">
        <v>1937.9999995885883</v>
      </c>
      <c r="E58"/>
    </row>
    <row r="59" spans="1:5" x14ac:dyDescent="0.25">
      <c r="A59" s="126" t="s">
        <v>414</v>
      </c>
      <c r="B59" s="42">
        <v>38</v>
      </c>
      <c r="C59" s="172">
        <f t="shared" si="1"/>
        <v>171.33333332819166</v>
      </c>
      <c r="D59" s="139">
        <v>6167.9999998148996</v>
      </c>
      <c r="E59"/>
    </row>
    <row r="60" spans="1:5" x14ac:dyDescent="0.25">
      <c r="A60" s="134" t="s">
        <v>313</v>
      </c>
      <c r="B60" s="137">
        <v>14</v>
      </c>
      <c r="C60" s="171">
        <f t="shared" si="1"/>
        <v>63.833333334885538</v>
      </c>
      <c r="D60" s="138">
        <v>2298.0000000558794</v>
      </c>
      <c r="E60"/>
    </row>
    <row r="61" spans="1:5" x14ac:dyDescent="0.25">
      <c r="A61" s="126" t="s">
        <v>397</v>
      </c>
      <c r="B61" s="42">
        <v>6</v>
      </c>
      <c r="C61" s="172">
        <f t="shared" si="1"/>
        <v>24.833333332906477</v>
      </c>
      <c r="D61" s="139">
        <v>893.99999998463318</v>
      </c>
      <c r="E61"/>
    </row>
    <row r="62" spans="1:5" x14ac:dyDescent="0.25">
      <c r="A62" s="126" t="s">
        <v>398</v>
      </c>
      <c r="B62" s="42">
        <v>8</v>
      </c>
      <c r="C62" s="172">
        <f t="shared" si="1"/>
        <v>39.00000000197906</v>
      </c>
      <c r="D62" s="139">
        <v>1404.0000000712462</v>
      </c>
      <c r="E62"/>
    </row>
    <row r="63" spans="1:5" x14ac:dyDescent="0.25">
      <c r="A63" s="126" t="s">
        <v>407</v>
      </c>
      <c r="B63" s="42">
        <v>719</v>
      </c>
      <c r="C63" s="42"/>
      <c r="D63" s="173">
        <v>90899.599999016529</v>
      </c>
      <c r="E63"/>
    </row>
    <row r="64" spans="1:5" x14ac:dyDescent="0.25">
      <c r="D64" s="148">
        <f>D60+D55+D48+D44+D42+D40+D34+D24+D21+D8+D6+D2</f>
        <v>90899.599999016529</v>
      </c>
    </row>
  </sheetData>
  <mergeCells count="1">
    <mergeCell ref="E45:E47"/>
  </mergeCells>
  <pageMargins left="0.25" right="0.25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A3D-BD26-4075-A78C-DC646CB14DAB}">
  <dimension ref="A1:H70"/>
  <sheetViews>
    <sheetView rightToLeft="1" workbookViewId="0">
      <selection activeCell="I1" sqref="I1:N1048576"/>
    </sheetView>
  </sheetViews>
  <sheetFormatPr defaultRowHeight="13.8" x14ac:dyDescent="0.25"/>
  <cols>
    <col min="1" max="1" width="18.09765625" customWidth="1"/>
    <col min="5" max="8" width="8.69921875" style="14"/>
  </cols>
  <sheetData>
    <row r="1" spans="1:4" x14ac:dyDescent="0.25">
      <c r="A1" s="183" t="s">
        <v>419</v>
      </c>
      <c r="B1" s="184" t="s">
        <v>500</v>
      </c>
      <c r="C1" s="184" t="s">
        <v>410</v>
      </c>
      <c r="D1" s="184" t="s">
        <v>411</v>
      </c>
    </row>
    <row r="2" spans="1:4" x14ac:dyDescent="0.25">
      <c r="A2" s="126" t="s">
        <v>501</v>
      </c>
      <c r="B2" s="42">
        <v>5</v>
      </c>
      <c r="C2" s="42"/>
      <c r="D2" s="42"/>
    </row>
    <row r="3" spans="1:4" x14ac:dyDescent="0.25">
      <c r="A3" s="126" t="s">
        <v>399</v>
      </c>
      <c r="B3" s="42">
        <v>5</v>
      </c>
      <c r="C3" s="42"/>
      <c r="D3" s="42"/>
    </row>
    <row r="4" spans="1:4" x14ac:dyDescent="0.25">
      <c r="A4" s="183" t="s">
        <v>412</v>
      </c>
      <c r="B4" s="137">
        <v>165</v>
      </c>
      <c r="C4" s="171">
        <f>D4/30</f>
        <v>690.45</v>
      </c>
      <c r="D4" s="137">
        <v>20713.5</v>
      </c>
    </row>
    <row r="5" spans="1:4" x14ac:dyDescent="0.25">
      <c r="A5" s="126" t="s">
        <v>385</v>
      </c>
      <c r="B5" s="42">
        <v>19</v>
      </c>
      <c r="C5" s="172">
        <f t="shared" ref="C5:C26" si="0">D5/30</f>
        <v>74.416666666666671</v>
      </c>
      <c r="D5" s="42">
        <v>2232.5</v>
      </c>
    </row>
    <row r="6" spans="1:4" x14ac:dyDescent="0.25">
      <c r="A6" s="126" t="s">
        <v>386</v>
      </c>
      <c r="B6" s="42">
        <v>15</v>
      </c>
      <c r="C6" s="172">
        <f t="shared" si="0"/>
        <v>60</v>
      </c>
      <c r="D6" s="42">
        <v>1800</v>
      </c>
    </row>
    <row r="7" spans="1:4" x14ac:dyDescent="0.25">
      <c r="A7" s="126" t="s">
        <v>387</v>
      </c>
      <c r="B7" s="42">
        <v>16</v>
      </c>
      <c r="C7" s="172">
        <f t="shared" si="0"/>
        <v>68</v>
      </c>
      <c r="D7" s="42">
        <v>2040</v>
      </c>
    </row>
    <row r="8" spans="1:4" x14ac:dyDescent="0.25">
      <c r="A8" s="126" t="s">
        <v>388</v>
      </c>
      <c r="B8" s="42">
        <v>18</v>
      </c>
      <c r="C8" s="172">
        <f t="shared" si="0"/>
        <v>70.5</v>
      </c>
      <c r="D8" s="42">
        <v>2115</v>
      </c>
    </row>
    <row r="9" spans="1:4" x14ac:dyDescent="0.25">
      <c r="A9" s="126" t="s">
        <v>390</v>
      </c>
      <c r="B9" s="42">
        <v>15</v>
      </c>
      <c r="C9" s="172">
        <f t="shared" si="0"/>
        <v>66.250000000000014</v>
      </c>
      <c r="D9" s="42">
        <v>1987.5000000000005</v>
      </c>
    </row>
    <row r="10" spans="1:4" x14ac:dyDescent="0.25">
      <c r="A10" s="126" t="s">
        <v>391</v>
      </c>
      <c r="B10" s="42">
        <v>14</v>
      </c>
      <c r="C10" s="172">
        <f t="shared" si="0"/>
        <v>64.166666666666671</v>
      </c>
      <c r="D10" s="42">
        <v>1925.0000000000002</v>
      </c>
    </row>
    <row r="11" spans="1:4" x14ac:dyDescent="0.25">
      <c r="A11" s="126" t="s">
        <v>392</v>
      </c>
      <c r="B11" s="42">
        <v>16</v>
      </c>
      <c r="C11" s="172">
        <f t="shared" si="0"/>
        <v>60.166666666666664</v>
      </c>
      <c r="D11" s="42">
        <v>1805</v>
      </c>
    </row>
    <row r="12" spans="1:4" x14ac:dyDescent="0.25">
      <c r="A12" s="126" t="s">
        <v>393</v>
      </c>
      <c r="B12" s="42">
        <v>18</v>
      </c>
      <c r="C12" s="172">
        <f t="shared" si="0"/>
        <v>76.5</v>
      </c>
      <c r="D12" s="42">
        <v>2295</v>
      </c>
    </row>
    <row r="13" spans="1:4" x14ac:dyDescent="0.25">
      <c r="A13" s="126" t="s">
        <v>394</v>
      </c>
      <c r="B13" s="42">
        <v>17</v>
      </c>
      <c r="C13" s="172">
        <f t="shared" si="0"/>
        <v>75.933333333333351</v>
      </c>
      <c r="D13" s="42">
        <v>2278.0000000000005</v>
      </c>
    </row>
    <row r="14" spans="1:4" x14ac:dyDescent="0.25">
      <c r="A14" s="126" t="s">
        <v>395</v>
      </c>
      <c r="B14" s="42">
        <v>17</v>
      </c>
      <c r="C14" s="172">
        <f t="shared" si="0"/>
        <v>74.516666666666652</v>
      </c>
      <c r="D14" s="42">
        <v>2235.4999999999995</v>
      </c>
    </row>
    <row r="15" spans="1:4" x14ac:dyDescent="0.25">
      <c r="A15" s="183" t="s">
        <v>224</v>
      </c>
      <c r="B15" s="137">
        <v>71</v>
      </c>
      <c r="C15" s="171">
        <f t="shared" si="0"/>
        <v>255.00000000547152</v>
      </c>
      <c r="D15" s="137">
        <v>7650.0000001641456</v>
      </c>
    </row>
    <row r="16" spans="1:4" x14ac:dyDescent="0.25">
      <c r="A16" s="126" t="s">
        <v>384</v>
      </c>
      <c r="B16" s="42">
        <v>13</v>
      </c>
      <c r="C16" s="172">
        <f t="shared" si="0"/>
        <v>54.166666674485896</v>
      </c>
      <c r="D16" s="42">
        <v>1625.0000002345769</v>
      </c>
    </row>
    <row r="17" spans="1:4" x14ac:dyDescent="0.25">
      <c r="A17" s="126" t="s">
        <v>388</v>
      </c>
      <c r="B17" s="42">
        <v>7</v>
      </c>
      <c r="C17" s="172">
        <f t="shared" si="0"/>
        <v>31.333333332033362</v>
      </c>
      <c r="D17" s="42">
        <v>939.99999996100087</v>
      </c>
    </row>
    <row r="18" spans="1:4" x14ac:dyDescent="0.25">
      <c r="A18" s="126" t="s">
        <v>389</v>
      </c>
      <c r="B18" s="42">
        <v>11</v>
      </c>
      <c r="C18" s="172">
        <f t="shared" si="0"/>
        <v>13.75</v>
      </c>
      <c r="D18" s="42">
        <v>412.5</v>
      </c>
    </row>
    <row r="19" spans="1:4" x14ac:dyDescent="0.25">
      <c r="A19" s="126" t="s">
        <v>390</v>
      </c>
      <c r="B19" s="42">
        <v>8</v>
      </c>
      <c r="C19" s="172">
        <f t="shared" si="0"/>
        <v>35.333333344664425</v>
      </c>
      <c r="D19" s="42">
        <v>1060.0000003399327</v>
      </c>
    </row>
    <row r="20" spans="1:4" x14ac:dyDescent="0.25">
      <c r="A20" s="126" t="s">
        <v>393</v>
      </c>
      <c r="B20" s="42">
        <v>20</v>
      </c>
      <c r="C20" s="172">
        <f t="shared" si="0"/>
        <v>82.666666651377454</v>
      </c>
      <c r="D20" s="42">
        <v>2479.9999995413236</v>
      </c>
    </row>
    <row r="21" spans="1:4" x14ac:dyDescent="0.25">
      <c r="A21" s="126" t="s">
        <v>395</v>
      </c>
      <c r="B21" s="42">
        <v>12</v>
      </c>
      <c r="C21" s="172">
        <f t="shared" si="0"/>
        <v>37.750000002910383</v>
      </c>
      <c r="D21" s="42">
        <v>1132.5000000873115</v>
      </c>
    </row>
    <row r="22" spans="1:4" x14ac:dyDescent="0.25">
      <c r="A22" s="134" t="s">
        <v>320</v>
      </c>
      <c r="B22" s="137">
        <v>17</v>
      </c>
      <c r="C22" s="171">
        <f t="shared" si="0"/>
        <v>83.083333356073126</v>
      </c>
      <c r="D22" s="137">
        <v>2492.5000006821938</v>
      </c>
    </row>
    <row r="23" spans="1:4" x14ac:dyDescent="0.25">
      <c r="A23" s="126" t="s">
        <v>392</v>
      </c>
      <c r="B23" s="42">
        <v>5</v>
      </c>
      <c r="C23" s="172">
        <f t="shared" si="0"/>
        <v>23.750000008149073</v>
      </c>
      <c r="D23" s="42">
        <v>712.50000024447218</v>
      </c>
    </row>
    <row r="24" spans="1:4" x14ac:dyDescent="0.25">
      <c r="A24" s="126" t="s">
        <v>393</v>
      </c>
      <c r="B24" s="42">
        <v>4</v>
      </c>
      <c r="C24" s="172">
        <f t="shared" si="0"/>
        <v>19.666666669072583</v>
      </c>
      <c r="D24" s="42">
        <v>590.0000000721775</v>
      </c>
    </row>
    <row r="25" spans="1:4" x14ac:dyDescent="0.25">
      <c r="A25" s="126" t="s">
        <v>394</v>
      </c>
      <c r="B25" s="42">
        <v>4</v>
      </c>
      <c r="C25" s="172">
        <f t="shared" si="0"/>
        <v>20.666666672332212</v>
      </c>
      <c r="D25" s="42">
        <v>620.00000016996637</v>
      </c>
    </row>
    <row r="26" spans="1:4" x14ac:dyDescent="0.25">
      <c r="A26" s="126" t="s">
        <v>395</v>
      </c>
      <c r="B26" s="42">
        <v>4</v>
      </c>
      <c r="C26" s="172">
        <f t="shared" si="0"/>
        <v>19.000000006519258</v>
      </c>
      <c r="D26" s="42">
        <v>570.00000019557774</v>
      </c>
    </row>
    <row r="27" spans="1:4" x14ac:dyDescent="0.25">
      <c r="A27" s="183" t="s">
        <v>226</v>
      </c>
      <c r="B27" s="137">
        <v>3</v>
      </c>
      <c r="C27" s="171">
        <f>D27/32</f>
        <v>11</v>
      </c>
      <c r="D27" s="137">
        <v>352</v>
      </c>
    </row>
    <row r="28" spans="1:4" x14ac:dyDescent="0.25">
      <c r="A28" s="126" t="s">
        <v>399</v>
      </c>
      <c r="B28" s="42">
        <v>3</v>
      </c>
      <c r="C28" s="172">
        <f>D28/32</f>
        <v>10.999999999999998</v>
      </c>
      <c r="D28" s="42">
        <v>351.99999999999994</v>
      </c>
    </row>
    <row r="29" spans="1:4" x14ac:dyDescent="0.25">
      <c r="A29" s="183" t="s">
        <v>18</v>
      </c>
      <c r="B29" s="137">
        <v>4</v>
      </c>
      <c r="C29" s="171">
        <f>D29/35</f>
        <v>16.342857142857142</v>
      </c>
      <c r="D29" s="137">
        <v>572</v>
      </c>
    </row>
    <row r="30" spans="1:4" x14ac:dyDescent="0.25">
      <c r="A30" s="126" t="s">
        <v>399</v>
      </c>
      <c r="B30" s="42">
        <v>4</v>
      </c>
      <c r="C30" s="172">
        <f t="shared" ref="C30:C40" si="1">D30/35</f>
        <v>16.342857142857142</v>
      </c>
      <c r="D30" s="42">
        <v>572</v>
      </c>
    </row>
    <row r="31" spans="1:4" x14ac:dyDescent="0.25">
      <c r="A31" s="134" t="s">
        <v>431</v>
      </c>
      <c r="B31" s="137">
        <v>3</v>
      </c>
      <c r="C31" s="171">
        <f t="shared" si="1"/>
        <v>10.512857142857142</v>
      </c>
      <c r="D31" s="137">
        <v>367.94999999999993</v>
      </c>
    </row>
    <row r="32" spans="1:4" x14ac:dyDescent="0.25">
      <c r="A32" s="126" t="s">
        <v>399</v>
      </c>
      <c r="B32" s="42">
        <v>3</v>
      </c>
      <c r="C32" s="172">
        <f t="shared" si="1"/>
        <v>10.512857142857142</v>
      </c>
      <c r="D32" s="42">
        <v>367.94999999999993</v>
      </c>
    </row>
    <row r="33" spans="1:4" x14ac:dyDescent="0.25">
      <c r="A33" s="183" t="s">
        <v>171</v>
      </c>
      <c r="B33" s="137">
        <v>5</v>
      </c>
      <c r="C33" s="171">
        <f t="shared" si="1"/>
        <v>20.428571428571434</v>
      </c>
      <c r="D33" s="137">
        <v>715.00000000000023</v>
      </c>
    </row>
    <row r="34" spans="1:4" x14ac:dyDescent="0.25">
      <c r="A34" s="126" t="s">
        <v>399</v>
      </c>
      <c r="B34" s="42">
        <v>5</v>
      </c>
      <c r="C34" s="172">
        <f t="shared" si="1"/>
        <v>20.428571428571434</v>
      </c>
      <c r="D34" s="42">
        <v>715.00000000000023</v>
      </c>
    </row>
    <row r="35" spans="1:4" x14ac:dyDescent="0.25">
      <c r="A35" s="183" t="s">
        <v>403</v>
      </c>
      <c r="B35" s="137">
        <v>5</v>
      </c>
      <c r="C35" s="171">
        <f t="shared" si="1"/>
        <v>19.25</v>
      </c>
      <c r="D35" s="137">
        <v>673.75</v>
      </c>
    </row>
    <row r="36" spans="1:4" x14ac:dyDescent="0.25">
      <c r="A36" s="126" t="s">
        <v>399</v>
      </c>
      <c r="B36" s="42">
        <v>5</v>
      </c>
      <c r="C36" s="172">
        <f t="shared" si="1"/>
        <v>19.25</v>
      </c>
      <c r="D36" s="42">
        <v>673.75</v>
      </c>
    </row>
    <row r="37" spans="1:4" x14ac:dyDescent="0.25">
      <c r="A37" s="183" t="s">
        <v>11</v>
      </c>
      <c r="B37" s="137">
        <v>3</v>
      </c>
      <c r="C37" s="171">
        <f t="shared" si="1"/>
        <v>10.607142857142854</v>
      </c>
      <c r="D37" s="137">
        <v>371.24999999999989</v>
      </c>
    </row>
    <row r="38" spans="1:4" x14ac:dyDescent="0.25">
      <c r="A38" s="126" t="s">
        <v>399</v>
      </c>
      <c r="B38" s="42">
        <v>3</v>
      </c>
      <c r="C38" s="172">
        <f t="shared" si="1"/>
        <v>10.607142857142854</v>
      </c>
      <c r="D38" s="42">
        <v>371.24999999999989</v>
      </c>
    </row>
    <row r="39" spans="1:4" x14ac:dyDescent="0.25">
      <c r="A39" s="183" t="s">
        <v>502</v>
      </c>
      <c r="B39" s="137">
        <v>4</v>
      </c>
      <c r="C39" s="171">
        <f t="shared" si="1"/>
        <v>13.2</v>
      </c>
      <c r="D39" s="137">
        <v>462</v>
      </c>
    </row>
    <row r="40" spans="1:4" x14ac:dyDescent="0.25">
      <c r="A40" s="126" t="s">
        <v>399</v>
      </c>
      <c r="B40" s="42">
        <v>4</v>
      </c>
      <c r="C40" s="172">
        <f t="shared" si="1"/>
        <v>13.2</v>
      </c>
      <c r="D40" s="42">
        <v>462</v>
      </c>
    </row>
    <row r="41" spans="1:4" x14ac:dyDescent="0.25">
      <c r="A41" s="183" t="s">
        <v>203</v>
      </c>
      <c r="B41" s="137">
        <v>50</v>
      </c>
      <c r="C41" s="171">
        <f>D41/30</f>
        <v>222.58333332760958</v>
      </c>
      <c r="D41" s="137">
        <v>6677.4999998282874</v>
      </c>
    </row>
    <row r="42" spans="1:4" x14ac:dyDescent="0.25">
      <c r="A42" s="126" t="s">
        <v>383</v>
      </c>
      <c r="B42" s="42">
        <v>12</v>
      </c>
      <c r="C42" s="172">
        <f t="shared" ref="C42:C65" si="2">D42/30</f>
        <v>54.333333335467614</v>
      </c>
      <c r="D42" s="42">
        <v>1630.0000000640284</v>
      </c>
    </row>
    <row r="43" spans="1:4" x14ac:dyDescent="0.25">
      <c r="A43" s="126" t="s">
        <v>386</v>
      </c>
      <c r="B43" s="42">
        <v>7</v>
      </c>
      <c r="C43" s="172">
        <f t="shared" si="2"/>
        <v>26.250000005704351</v>
      </c>
      <c r="D43" s="42">
        <v>787.50000017113052</v>
      </c>
    </row>
    <row r="44" spans="1:4" x14ac:dyDescent="0.25">
      <c r="A44" s="126" t="s">
        <v>387</v>
      </c>
      <c r="B44" s="42">
        <v>8</v>
      </c>
      <c r="C44" s="172">
        <f t="shared" si="2"/>
        <v>35.5</v>
      </c>
      <c r="D44" s="42">
        <v>1065</v>
      </c>
    </row>
    <row r="45" spans="1:4" x14ac:dyDescent="0.25">
      <c r="A45" s="126" t="s">
        <v>389</v>
      </c>
      <c r="B45" s="42">
        <v>9</v>
      </c>
      <c r="C45" s="172">
        <f t="shared" si="2"/>
        <v>39.749999990744982</v>
      </c>
      <c r="D45" s="42">
        <v>1192.4999997223495</v>
      </c>
    </row>
    <row r="46" spans="1:4" x14ac:dyDescent="0.25">
      <c r="A46" s="126" t="s">
        <v>391</v>
      </c>
      <c r="B46" s="42">
        <v>5</v>
      </c>
      <c r="C46" s="172">
        <f t="shared" si="2"/>
        <v>20.250000006519258</v>
      </c>
      <c r="D46" s="42">
        <v>607.50000019557774</v>
      </c>
    </row>
    <row r="47" spans="1:4" x14ac:dyDescent="0.25">
      <c r="A47" s="126" t="s">
        <v>394</v>
      </c>
      <c r="B47" s="42">
        <v>9</v>
      </c>
      <c r="C47" s="172">
        <f t="shared" si="2"/>
        <v>46.499999989173375</v>
      </c>
      <c r="D47" s="42">
        <v>1394.9999996752013</v>
      </c>
    </row>
    <row r="48" spans="1:4" x14ac:dyDescent="0.25">
      <c r="A48" s="183" t="s">
        <v>503</v>
      </c>
      <c r="B48" s="137">
        <v>3</v>
      </c>
      <c r="C48" s="171">
        <f t="shared" si="2"/>
        <v>14.025</v>
      </c>
      <c r="D48" s="137">
        <v>420.75</v>
      </c>
    </row>
    <row r="49" spans="1:4" x14ac:dyDescent="0.25">
      <c r="A49" s="126" t="s">
        <v>399</v>
      </c>
      <c r="B49" s="42">
        <v>3</v>
      </c>
      <c r="C49" s="172">
        <f t="shared" si="2"/>
        <v>14.025</v>
      </c>
      <c r="D49" s="42">
        <v>420.75</v>
      </c>
    </row>
    <row r="50" spans="1:4" x14ac:dyDescent="0.25">
      <c r="A50" s="134" t="s">
        <v>306</v>
      </c>
      <c r="B50" s="137">
        <v>7</v>
      </c>
      <c r="C50" s="171">
        <f t="shared" si="2"/>
        <v>25.666666659468319</v>
      </c>
      <c r="D50" s="137">
        <v>769.99999978404958</v>
      </c>
    </row>
    <row r="51" spans="1:4" x14ac:dyDescent="0.25">
      <c r="A51" s="126" t="s">
        <v>385</v>
      </c>
      <c r="B51" s="42">
        <v>7</v>
      </c>
      <c r="C51" s="172">
        <f t="shared" si="2"/>
        <v>25.666666659468319</v>
      </c>
      <c r="D51" s="42">
        <v>769.99999978404958</v>
      </c>
    </row>
    <row r="52" spans="1:4" x14ac:dyDescent="0.25">
      <c r="A52" s="183" t="s">
        <v>210</v>
      </c>
      <c r="B52" s="137">
        <v>53</v>
      </c>
      <c r="C52" s="171">
        <f t="shared" si="2"/>
        <v>281.53333334811032</v>
      </c>
      <c r="D52" s="137">
        <v>8446.0000004433095</v>
      </c>
    </row>
    <row r="53" spans="1:4" x14ac:dyDescent="0.25">
      <c r="A53" s="126" t="s">
        <v>383</v>
      </c>
      <c r="B53" s="42">
        <v>4</v>
      </c>
      <c r="C53" s="172">
        <f t="shared" si="2"/>
        <v>21.000000003259629</v>
      </c>
      <c r="D53" s="42">
        <v>630.00000009778887</v>
      </c>
    </row>
    <row r="54" spans="1:4" x14ac:dyDescent="0.25">
      <c r="A54" s="126" t="s">
        <v>384</v>
      </c>
      <c r="B54" s="42">
        <v>4</v>
      </c>
      <c r="C54" s="172">
        <f t="shared" si="2"/>
        <v>21.000000003259629</v>
      </c>
      <c r="D54" s="42">
        <v>630.00000009778887</v>
      </c>
    </row>
    <row r="55" spans="1:4" x14ac:dyDescent="0.25">
      <c r="A55" s="126" t="s">
        <v>385</v>
      </c>
      <c r="B55" s="42">
        <v>4</v>
      </c>
      <c r="C55" s="172">
        <f t="shared" si="2"/>
        <v>20.666666662553325</v>
      </c>
      <c r="D55" s="42">
        <v>619.99999987659976</v>
      </c>
    </row>
    <row r="56" spans="1:4" x14ac:dyDescent="0.25">
      <c r="A56" s="126" t="s">
        <v>386</v>
      </c>
      <c r="B56" s="42">
        <v>4</v>
      </c>
      <c r="C56" s="172">
        <f t="shared" si="2"/>
        <v>21.000000003259629</v>
      </c>
      <c r="D56" s="42">
        <v>630.00000009778887</v>
      </c>
    </row>
    <row r="57" spans="1:4" x14ac:dyDescent="0.25">
      <c r="A57" s="126" t="s">
        <v>387</v>
      </c>
      <c r="B57" s="42">
        <v>4</v>
      </c>
      <c r="C57" s="172">
        <f t="shared" si="2"/>
        <v>21.000000003259629</v>
      </c>
      <c r="D57" s="42">
        <v>630.00000009778887</v>
      </c>
    </row>
    <row r="58" spans="1:4" x14ac:dyDescent="0.25">
      <c r="A58" s="126" t="s">
        <v>388</v>
      </c>
      <c r="B58" s="42">
        <v>4</v>
      </c>
      <c r="C58" s="172">
        <f t="shared" si="2"/>
        <v>21.000000003259629</v>
      </c>
      <c r="D58" s="42">
        <v>630.00000009778887</v>
      </c>
    </row>
    <row r="59" spans="1:4" x14ac:dyDescent="0.25">
      <c r="A59" s="126" t="s">
        <v>389</v>
      </c>
      <c r="B59" s="42">
        <v>4</v>
      </c>
      <c r="C59" s="172">
        <f t="shared" si="2"/>
        <v>21.000000003259629</v>
      </c>
      <c r="D59" s="42">
        <v>630.00000009778887</v>
      </c>
    </row>
    <row r="60" spans="1:4" x14ac:dyDescent="0.25">
      <c r="A60" s="126" t="s">
        <v>390</v>
      </c>
      <c r="B60" s="42">
        <v>4</v>
      </c>
      <c r="C60" s="172">
        <f t="shared" si="2"/>
        <v>21.000000003259629</v>
      </c>
      <c r="D60" s="42">
        <v>630.00000009778887</v>
      </c>
    </row>
    <row r="61" spans="1:4" x14ac:dyDescent="0.25">
      <c r="A61" s="126" t="s">
        <v>391</v>
      </c>
      <c r="B61" s="42">
        <v>4</v>
      </c>
      <c r="C61" s="172">
        <f t="shared" si="2"/>
        <v>20.866666668793187</v>
      </c>
      <c r="D61" s="42">
        <v>626.0000000637956</v>
      </c>
    </row>
    <row r="62" spans="1:4" x14ac:dyDescent="0.25">
      <c r="A62" s="126" t="s">
        <v>392</v>
      </c>
      <c r="B62" s="42">
        <v>6</v>
      </c>
      <c r="C62" s="172">
        <f t="shared" si="2"/>
        <v>35.333333328191657</v>
      </c>
      <c r="D62" s="42">
        <v>1059.9999998457497</v>
      </c>
    </row>
    <row r="63" spans="1:4" x14ac:dyDescent="0.25">
      <c r="A63" s="126" t="s">
        <v>393</v>
      </c>
      <c r="B63" s="42">
        <v>4</v>
      </c>
      <c r="C63" s="172">
        <f t="shared" si="2"/>
        <v>20.333333330927417</v>
      </c>
      <c r="D63" s="42">
        <v>609.9999999278225</v>
      </c>
    </row>
    <row r="64" spans="1:4" x14ac:dyDescent="0.25">
      <c r="A64" s="126" t="s">
        <v>394</v>
      </c>
      <c r="B64" s="42">
        <v>3</v>
      </c>
      <c r="C64" s="172">
        <f t="shared" si="2"/>
        <v>16.000000000640284</v>
      </c>
      <c r="D64" s="42">
        <v>480.00000001920853</v>
      </c>
    </row>
    <row r="65" spans="1:4" x14ac:dyDescent="0.25">
      <c r="A65" s="126" t="s">
        <v>395</v>
      </c>
      <c r="B65" s="42">
        <v>4</v>
      </c>
      <c r="C65" s="172">
        <f t="shared" si="2"/>
        <v>21.333333334187046</v>
      </c>
      <c r="D65" s="42">
        <v>640.00000002561137</v>
      </c>
    </row>
    <row r="66" spans="1:4" x14ac:dyDescent="0.25">
      <c r="A66" s="134" t="s">
        <v>150</v>
      </c>
      <c r="B66" s="137">
        <v>4</v>
      </c>
      <c r="C66" s="171">
        <f>D66/32</f>
        <v>15.666666666666668</v>
      </c>
      <c r="D66" s="171">
        <v>501.33333333333337</v>
      </c>
    </row>
    <row r="67" spans="1:4" x14ac:dyDescent="0.25">
      <c r="A67" s="126" t="s">
        <v>399</v>
      </c>
      <c r="B67" s="42">
        <v>4</v>
      </c>
      <c r="C67" s="172">
        <f>D67/32</f>
        <v>15.666666666666668</v>
      </c>
      <c r="D67" s="172">
        <v>501.33333333333337</v>
      </c>
    </row>
    <row r="68" spans="1:4" x14ac:dyDescent="0.25">
      <c r="A68" s="126"/>
      <c r="B68" s="42"/>
      <c r="C68" s="42"/>
      <c r="D68" s="42"/>
    </row>
    <row r="69" spans="1:4" x14ac:dyDescent="0.25">
      <c r="A69" s="126"/>
      <c r="B69" s="42"/>
      <c r="C69" s="185" t="s">
        <v>504</v>
      </c>
      <c r="D69" s="184">
        <f>D66+D52+D50+D48+D41+D39+D37+D35+D33+D31+D29+D27+D22+D15+D4</f>
        <v>51185.533334235326</v>
      </c>
    </row>
    <row r="70" spans="1:4" x14ac:dyDescent="0.25">
      <c r="A70" s="183" t="s">
        <v>407</v>
      </c>
      <c r="B70" s="184">
        <v>407</v>
      </c>
      <c r="C70" s="184"/>
      <c r="D70" s="137">
        <v>52450.533334235326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8F92-FACF-49B3-88A2-DEB67A1F9116}">
  <dimension ref="A1:E62"/>
  <sheetViews>
    <sheetView rightToLeft="1" topLeftCell="A46" workbookViewId="0">
      <selection activeCell="F37" sqref="F1:M1048576"/>
    </sheetView>
  </sheetViews>
  <sheetFormatPr defaultRowHeight="13.8" x14ac:dyDescent="0.25"/>
  <cols>
    <col min="1" max="1" width="15.69921875" style="14" customWidth="1"/>
    <col min="2" max="2" width="12.19921875" style="14" customWidth="1"/>
    <col min="3" max="3" width="12.19921875" customWidth="1"/>
    <col min="4" max="4" width="12.296875" customWidth="1"/>
    <col min="5" max="5" width="8.69921875" style="14"/>
  </cols>
  <sheetData>
    <row r="1" spans="1:4" x14ac:dyDescent="0.25">
      <c r="A1" s="174" t="s">
        <v>419</v>
      </c>
      <c r="B1" s="175" t="s">
        <v>83</v>
      </c>
      <c r="C1" s="175" t="s">
        <v>410</v>
      </c>
      <c r="D1" s="175" t="s">
        <v>411</v>
      </c>
    </row>
    <row r="2" spans="1:4" x14ac:dyDescent="0.25">
      <c r="A2" s="183" t="s">
        <v>249</v>
      </c>
      <c r="B2" s="137">
        <v>6</v>
      </c>
      <c r="C2" s="171">
        <f>D2/33</f>
        <v>25.500000002095486</v>
      </c>
      <c r="D2" s="171">
        <v>841.50000006915104</v>
      </c>
    </row>
    <row r="3" spans="1:4" x14ac:dyDescent="0.25">
      <c r="A3" s="126" t="s">
        <v>383</v>
      </c>
      <c r="B3" s="42">
        <v>6</v>
      </c>
      <c r="C3" s="172">
        <f t="shared" ref="C3:C46" si="0">D3/33</f>
        <v>25.500000002095476</v>
      </c>
      <c r="D3" s="172">
        <v>841.5000000691507</v>
      </c>
    </row>
    <row r="4" spans="1:4" x14ac:dyDescent="0.25">
      <c r="A4" s="183" t="s">
        <v>442</v>
      </c>
      <c r="B4" s="137">
        <v>45</v>
      </c>
      <c r="C4" s="171">
        <f t="shared" si="0"/>
        <v>191.24999999877764</v>
      </c>
      <c r="D4" s="171">
        <v>6311.2499999596621</v>
      </c>
    </row>
    <row r="5" spans="1:4" x14ac:dyDescent="0.25">
      <c r="A5" s="126" t="s">
        <v>392</v>
      </c>
      <c r="B5" s="42">
        <v>9</v>
      </c>
      <c r="C5" s="172">
        <f t="shared" si="0"/>
        <v>33.583333334536292</v>
      </c>
      <c r="D5" s="172">
        <v>1108.2500000396976</v>
      </c>
    </row>
    <row r="6" spans="1:4" x14ac:dyDescent="0.25">
      <c r="A6" s="126" t="s">
        <v>393</v>
      </c>
      <c r="B6" s="42">
        <v>9</v>
      </c>
      <c r="C6" s="172">
        <f t="shared" si="0"/>
        <v>41.249999998777639</v>
      </c>
      <c r="D6" s="172">
        <v>1361.2499999596621</v>
      </c>
    </row>
    <row r="7" spans="1:4" x14ac:dyDescent="0.25">
      <c r="A7" s="126" t="s">
        <v>394</v>
      </c>
      <c r="B7" s="42">
        <v>9</v>
      </c>
      <c r="C7" s="172">
        <f t="shared" si="0"/>
        <v>36.916666666686069</v>
      </c>
      <c r="D7" s="172">
        <v>1218.2500000006403</v>
      </c>
    </row>
    <row r="8" spans="1:4" x14ac:dyDescent="0.25">
      <c r="A8" s="126" t="s">
        <v>395</v>
      </c>
      <c r="B8" s="42">
        <v>9</v>
      </c>
      <c r="C8" s="172">
        <f t="shared" si="0"/>
        <v>41.249999998777639</v>
      </c>
      <c r="D8" s="172">
        <v>1361.2499999596621</v>
      </c>
    </row>
    <row r="9" spans="1:4" x14ac:dyDescent="0.25">
      <c r="A9" s="126" t="s">
        <v>443</v>
      </c>
      <c r="B9" s="42">
        <v>9</v>
      </c>
      <c r="C9" s="172">
        <f t="shared" si="0"/>
        <v>38.25</v>
      </c>
      <c r="D9" s="172">
        <v>1262.25</v>
      </c>
    </row>
    <row r="10" spans="1:4" x14ac:dyDescent="0.25">
      <c r="A10" s="183" t="s">
        <v>444</v>
      </c>
      <c r="B10" s="137">
        <v>6</v>
      </c>
      <c r="C10" s="171">
        <f>D10/35</f>
        <v>28</v>
      </c>
      <c r="D10" s="171">
        <v>980</v>
      </c>
    </row>
    <row r="11" spans="1:4" x14ac:dyDescent="0.25">
      <c r="A11" s="126" t="s">
        <v>397</v>
      </c>
      <c r="B11" s="42">
        <v>3</v>
      </c>
      <c r="C11" s="179">
        <v>14</v>
      </c>
      <c r="D11" s="172">
        <f>C11*35</f>
        <v>490</v>
      </c>
    </row>
    <row r="12" spans="1:4" x14ac:dyDescent="0.25">
      <c r="A12" s="126" t="s">
        <v>398</v>
      </c>
      <c r="B12" s="42">
        <v>3</v>
      </c>
      <c r="C12" s="179">
        <v>14</v>
      </c>
      <c r="D12" s="172">
        <f>C12*35</f>
        <v>490</v>
      </c>
    </row>
    <row r="13" spans="1:4" x14ac:dyDescent="0.25">
      <c r="A13" s="183" t="s">
        <v>381</v>
      </c>
      <c r="B13" s="137">
        <v>15</v>
      </c>
      <c r="C13" s="171">
        <f t="shared" si="0"/>
        <v>64.16666667588288</v>
      </c>
      <c r="D13" s="171">
        <v>2117.500000304135</v>
      </c>
    </row>
    <row r="14" spans="1:4" x14ac:dyDescent="0.25">
      <c r="A14" s="126" t="s">
        <v>384</v>
      </c>
      <c r="B14" s="42">
        <v>5</v>
      </c>
      <c r="C14" s="172">
        <f t="shared" si="0"/>
        <v>21.66666667588288</v>
      </c>
      <c r="D14" s="172">
        <v>715.00000030413503</v>
      </c>
    </row>
    <row r="15" spans="1:4" x14ac:dyDescent="0.25">
      <c r="A15" s="126" t="s">
        <v>387</v>
      </c>
      <c r="B15" s="42">
        <v>5</v>
      </c>
      <c r="C15" s="172">
        <f t="shared" si="0"/>
        <v>21.25</v>
      </c>
      <c r="D15" s="172">
        <v>701.25</v>
      </c>
    </row>
    <row r="16" spans="1:4" x14ac:dyDescent="0.25">
      <c r="A16" s="126" t="s">
        <v>391</v>
      </c>
      <c r="B16" s="42">
        <v>5</v>
      </c>
      <c r="C16" s="172">
        <f t="shared" si="0"/>
        <v>21.25</v>
      </c>
      <c r="D16" s="172">
        <v>701.25</v>
      </c>
    </row>
    <row r="17" spans="1:4" x14ac:dyDescent="0.25">
      <c r="A17" s="183" t="s">
        <v>49</v>
      </c>
      <c r="B17" s="137">
        <v>4</v>
      </c>
      <c r="C17" s="171">
        <f t="shared" si="0"/>
        <v>14</v>
      </c>
      <c r="D17" s="171">
        <v>462</v>
      </c>
    </row>
    <row r="18" spans="1:4" x14ac:dyDescent="0.25">
      <c r="A18" s="126" t="s">
        <v>387</v>
      </c>
      <c r="B18" s="42">
        <v>4</v>
      </c>
      <c r="C18" s="172">
        <f t="shared" si="0"/>
        <v>14</v>
      </c>
      <c r="D18" s="172">
        <v>462</v>
      </c>
    </row>
    <row r="19" spans="1:4" x14ac:dyDescent="0.25">
      <c r="A19" s="183" t="s">
        <v>119</v>
      </c>
      <c r="B19" s="137">
        <v>27</v>
      </c>
      <c r="C19" s="171">
        <f t="shared" si="0"/>
        <v>135.08333332190523</v>
      </c>
      <c r="D19" s="171">
        <v>4457.7499996228726</v>
      </c>
    </row>
    <row r="20" spans="1:4" x14ac:dyDescent="0.25">
      <c r="A20" s="126" t="s">
        <v>385</v>
      </c>
      <c r="B20" s="42">
        <v>7</v>
      </c>
      <c r="C20" s="172">
        <f t="shared" si="0"/>
        <v>36.749999999592546</v>
      </c>
      <c r="D20" s="172">
        <v>1212.749999986554</v>
      </c>
    </row>
    <row r="21" spans="1:4" x14ac:dyDescent="0.25">
      <c r="A21" s="126" t="s">
        <v>388</v>
      </c>
      <c r="B21" s="42">
        <v>9</v>
      </c>
      <c r="C21" s="172">
        <f t="shared" si="0"/>
        <v>46.499999990744982</v>
      </c>
      <c r="D21" s="172">
        <v>1534.4999996945844</v>
      </c>
    </row>
    <row r="22" spans="1:4" x14ac:dyDescent="0.25">
      <c r="A22" s="126" t="s">
        <v>389</v>
      </c>
      <c r="B22" s="42">
        <v>5</v>
      </c>
      <c r="C22" s="172">
        <f t="shared" si="0"/>
        <v>23.333333332266193</v>
      </c>
      <c r="D22" s="172">
        <v>769.99999996478437</v>
      </c>
    </row>
    <row r="23" spans="1:4" x14ac:dyDescent="0.25">
      <c r="A23" s="126" t="s">
        <v>443</v>
      </c>
      <c r="B23" s="42">
        <v>6</v>
      </c>
      <c r="C23" s="172">
        <f t="shared" si="0"/>
        <v>28.499999999301508</v>
      </c>
      <c r="D23" s="172">
        <v>940.49999997694977</v>
      </c>
    </row>
    <row r="24" spans="1:4" x14ac:dyDescent="0.25">
      <c r="A24" s="134" t="s">
        <v>120</v>
      </c>
      <c r="B24" s="137">
        <v>233</v>
      </c>
      <c r="C24" s="171">
        <f t="shared" si="0"/>
        <v>1026.5833332785987</v>
      </c>
      <c r="D24" s="171">
        <v>33877.249998193758</v>
      </c>
    </row>
    <row r="25" spans="1:4" x14ac:dyDescent="0.25">
      <c r="A25" s="126" t="s">
        <v>383</v>
      </c>
      <c r="B25" s="42">
        <v>13</v>
      </c>
      <c r="C25" s="172">
        <f t="shared" si="0"/>
        <v>49.999999998370185</v>
      </c>
      <c r="D25" s="172">
        <v>1649.9999999462161</v>
      </c>
    </row>
    <row r="26" spans="1:4" x14ac:dyDescent="0.25">
      <c r="A26" s="126" t="s">
        <v>384</v>
      </c>
      <c r="B26" s="42">
        <v>11</v>
      </c>
      <c r="C26" s="172">
        <f t="shared" si="0"/>
        <v>50.416666677978355</v>
      </c>
      <c r="D26" s="172">
        <v>1663.7500003732857</v>
      </c>
    </row>
    <row r="27" spans="1:4" x14ac:dyDescent="0.25">
      <c r="A27" s="126" t="s">
        <v>385</v>
      </c>
      <c r="B27" s="42">
        <v>13</v>
      </c>
      <c r="C27" s="172">
        <f t="shared" si="0"/>
        <v>57.416666663892101</v>
      </c>
      <c r="D27" s="172">
        <v>1894.7499999084393</v>
      </c>
    </row>
    <row r="28" spans="1:4" x14ac:dyDescent="0.25">
      <c r="A28" s="126" t="s">
        <v>386</v>
      </c>
      <c r="B28" s="42">
        <v>11</v>
      </c>
      <c r="C28" s="172">
        <f t="shared" si="0"/>
        <v>49.49999999103602</v>
      </c>
      <c r="D28" s="172">
        <v>1633.4999997041887</v>
      </c>
    </row>
    <row r="29" spans="1:4" x14ac:dyDescent="0.25">
      <c r="A29" s="126" t="s">
        <v>387</v>
      </c>
      <c r="B29" s="42">
        <v>12</v>
      </c>
      <c r="C29" s="172">
        <f t="shared" si="0"/>
        <v>48</v>
      </c>
      <c r="D29" s="172">
        <v>1584</v>
      </c>
    </row>
    <row r="30" spans="1:4" x14ac:dyDescent="0.25">
      <c r="A30" s="126" t="s">
        <v>388</v>
      </c>
      <c r="B30" s="42">
        <v>11</v>
      </c>
      <c r="C30" s="172">
        <f t="shared" si="0"/>
        <v>49.49999999103602</v>
      </c>
      <c r="D30" s="172">
        <v>1633.4999997041887</v>
      </c>
    </row>
    <row r="31" spans="1:4" x14ac:dyDescent="0.25">
      <c r="A31" s="126" t="s">
        <v>389</v>
      </c>
      <c r="B31" s="42">
        <v>15</v>
      </c>
      <c r="C31" s="172">
        <f t="shared" si="0"/>
        <v>63.749999975552782</v>
      </c>
      <c r="D31" s="172">
        <v>2103.7499991932418</v>
      </c>
    </row>
    <row r="32" spans="1:4" x14ac:dyDescent="0.25">
      <c r="A32" s="126" t="s">
        <v>390</v>
      </c>
      <c r="B32" s="42">
        <v>15</v>
      </c>
      <c r="C32" s="172">
        <f t="shared" si="0"/>
        <v>67.499999987776391</v>
      </c>
      <c r="D32" s="172">
        <v>2227.4999995966209</v>
      </c>
    </row>
    <row r="33" spans="1:5" x14ac:dyDescent="0.25">
      <c r="A33" s="126" t="s">
        <v>391</v>
      </c>
      <c r="B33" s="42">
        <v>11</v>
      </c>
      <c r="C33" s="172">
        <f t="shared" si="0"/>
        <v>44</v>
      </c>
      <c r="D33" s="172">
        <v>1452</v>
      </c>
    </row>
    <row r="34" spans="1:5" x14ac:dyDescent="0.25">
      <c r="A34" s="126" t="s">
        <v>392</v>
      </c>
      <c r="B34" s="42">
        <v>14</v>
      </c>
      <c r="C34" s="172">
        <f t="shared" si="0"/>
        <v>62.999999998370185</v>
      </c>
      <c r="D34" s="172">
        <v>2078.9999999462161</v>
      </c>
    </row>
    <row r="35" spans="1:5" x14ac:dyDescent="0.25">
      <c r="A35" s="126" t="s">
        <v>393</v>
      </c>
      <c r="B35" s="42">
        <v>18</v>
      </c>
      <c r="C35" s="172">
        <f t="shared" si="0"/>
        <v>76.499999998952262</v>
      </c>
      <c r="D35" s="172">
        <v>2524.4999999654246</v>
      </c>
    </row>
    <row r="36" spans="1:5" x14ac:dyDescent="0.25">
      <c r="A36" s="126" t="s">
        <v>394</v>
      </c>
      <c r="B36" s="42">
        <v>22</v>
      </c>
      <c r="C36" s="172">
        <f t="shared" si="0"/>
        <v>102.66666666837409</v>
      </c>
      <c r="D36" s="172">
        <v>3388.000000056345</v>
      </c>
    </row>
    <row r="37" spans="1:5" x14ac:dyDescent="0.25">
      <c r="A37" s="126" t="s">
        <v>395</v>
      </c>
      <c r="B37" s="42">
        <v>16</v>
      </c>
      <c r="C37" s="172">
        <f t="shared" si="0"/>
        <v>69.99999999825377</v>
      </c>
      <c r="D37" s="172">
        <v>2309.9999999423744</v>
      </c>
    </row>
    <row r="38" spans="1:5" x14ac:dyDescent="0.25">
      <c r="A38" s="126" t="s">
        <v>443</v>
      </c>
      <c r="B38" s="42">
        <v>16</v>
      </c>
      <c r="C38" s="172">
        <f t="shared" si="0"/>
        <v>71.999999998137355</v>
      </c>
      <c r="D38" s="172">
        <v>2375.9999999385327</v>
      </c>
    </row>
    <row r="39" spans="1:5" x14ac:dyDescent="0.25">
      <c r="A39" s="126" t="s">
        <v>414</v>
      </c>
      <c r="B39" s="42">
        <v>19</v>
      </c>
      <c r="C39" s="172">
        <f t="shared" si="0"/>
        <v>98.333333332964685</v>
      </c>
      <c r="D39" s="172">
        <v>3244.9999999878346</v>
      </c>
    </row>
    <row r="40" spans="1:5" x14ac:dyDescent="0.25">
      <c r="A40" s="126" t="s">
        <v>396</v>
      </c>
      <c r="B40" s="42">
        <v>16</v>
      </c>
      <c r="C40" s="172">
        <f t="shared" si="0"/>
        <v>63.999999997904524</v>
      </c>
      <c r="D40" s="172">
        <v>2111.9999999308493</v>
      </c>
    </row>
    <row r="41" spans="1:5" x14ac:dyDescent="0.25">
      <c r="A41" s="183" t="s">
        <v>171</v>
      </c>
      <c r="B41" s="137">
        <v>7</v>
      </c>
      <c r="C41" s="171">
        <f>D41/35</f>
        <v>31.250000000523869</v>
      </c>
      <c r="D41" s="171">
        <v>1093.7500000183354</v>
      </c>
    </row>
    <row r="42" spans="1:5" x14ac:dyDescent="0.25">
      <c r="A42" s="126" t="s">
        <v>397</v>
      </c>
      <c r="B42" s="42">
        <v>3</v>
      </c>
      <c r="C42" s="179"/>
      <c r="D42" s="172"/>
    </row>
    <row r="43" spans="1:5" x14ac:dyDescent="0.25">
      <c r="A43" s="126" t="s">
        <v>398</v>
      </c>
      <c r="B43" s="42">
        <v>4</v>
      </c>
      <c r="C43" s="179"/>
      <c r="D43" s="172"/>
    </row>
    <row r="44" spans="1:5" x14ac:dyDescent="0.25">
      <c r="A44" s="183" t="s">
        <v>476</v>
      </c>
      <c r="B44" s="137">
        <v>30</v>
      </c>
      <c r="C44" s="171">
        <f>D44/36</f>
        <v>106.16666666666667</v>
      </c>
      <c r="D44" s="171">
        <v>3822</v>
      </c>
    </row>
    <row r="45" spans="1:5" x14ac:dyDescent="0.25">
      <c r="A45" s="126" t="s">
        <v>398</v>
      </c>
      <c r="B45" s="42">
        <v>16</v>
      </c>
      <c r="C45" s="172">
        <f t="shared" si="0"/>
        <v>44</v>
      </c>
      <c r="D45" s="172">
        <v>1452</v>
      </c>
    </row>
    <row r="46" spans="1:5" x14ac:dyDescent="0.25">
      <c r="A46" s="126" t="s">
        <v>399</v>
      </c>
      <c r="B46" s="42">
        <v>14</v>
      </c>
      <c r="C46" s="172">
        <f t="shared" si="0"/>
        <v>62.166666665580124</v>
      </c>
      <c r="D46" s="172">
        <v>2051.4999999641441</v>
      </c>
    </row>
    <row r="47" spans="1:5" x14ac:dyDescent="0.25">
      <c r="A47" s="183" t="s">
        <v>445</v>
      </c>
      <c r="B47" s="137">
        <v>3</v>
      </c>
      <c r="C47" s="171">
        <f>D47/35</f>
        <v>13.333428571428572</v>
      </c>
      <c r="D47" s="171">
        <v>466.67</v>
      </c>
      <c r="E47" s="211" t="s">
        <v>61</v>
      </c>
    </row>
    <row r="48" spans="1:5" x14ac:dyDescent="0.25">
      <c r="A48" s="126" t="s">
        <v>397</v>
      </c>
      <c r="B48" s="42">
        <v>2</v>
      </c>
      <c r="C48" s="179">
        <f t="shared" ref="C48:C55" si="1">D48/35</f>
        <v>8.3285714286080168</v>
      </c>
      <c r="D48" s="172">
        <v>291.50000000128057</v>
      </c>
      <c r="E48" s="212"/>
    </row>
    <row r="49" spans="1:5" x14ac:dyDescent="0.25">
      <c r="A49" s="126" t="s">
        <v>398</v>
      </c>
      <c r="B49" s="42">
        <v>1</v>
      </c>
      <c r="C49" s="179">
        <f t="shared" si="1"/>
        <v>4.2428571429669057</v>
      </c>
      <c r="D49" s="172">
        <v>148.50000000384171</v>
      </c>
      <c r="E49" s="213"/>
    </row>
    <row r="50" spans="1:5" x14ac:dyDescent="0.25">
      <c r="A50" s="183" t="s">
        <v>446</v>
      </c>
      <c r="B50" s="137">
        <v>4</v>
      </c>
      <c r="C50" s="171">
        <f t="shared" si="1"/>
        <v>19.5</v>
      </c>
      <c r="D50" s="171">
        <v>682.5</v>
      </c>
    </row>
    <row r="51" spans="1:5" x14ac:dyDescent="0.25">
      <c r="A51" s="126" t="s">
        <v>397</v>
      </c>
      <c r="B51" s="42">
        <v>2</v>
      </c>
      <c r="C51" s="179">
        <f t="shared" si="1"/>
        <v>9.2714285712456324</v>
      </c>
      <c r="D51" s="172">
        <v>324.49999999359716</v>
      </c>
    </row>
    <row r="52" spans="1:5" x14ac:dyDescent="0.25">
      <c r="A52" s="126" t="s">
        <v>398</v>
      </c>
      <c r="B52" s="42">
        <v>2</v>
      </c>
      <c r="C52" s="179">
        <f t="shared" si="1"/>
        <v>9.1142857142491263</v>
      </c>
      <c r="D52" s="172">
        <v>318.99999999871943</v>
      </c>
    </row>
    <row r="53" spans="1:5" x14ac:dyDescent="0.25">
      <c r="A53" s="183" t="s">
        <v>447</v>
      </c>
      <c r="B53" s="137">
        <v>5</v>
      </c>
      <c r="C53" s="171">
        <f t="shared" si="1"/>
        <v>24</v>
      </c>
      <c r="D53" s="171">
        <v>840</v>
      </c>
    </row>
    <row r="54" spans="1:5" x14ac:dyDescent="0.25">
      <c r="A54" s="126" t="s">
        <v>397</v>
      </c>
      <c r="B54" s="42">
        <v>2</v>
      </c>
      <c r="C54" s="171">
        <f t="shared" si="1"/>
        <v>8.9571428569233316</v>
      </c>
      <c r="D54" s="172">
        <v>313.49999999231659</v>
      </c>
    </row>
    <row r="55" spans="1:5" x14ac:dyDescent="0.25">
      <c r="A55" s="126" t="s">
        <v>398</v>
      </c>
      <c r="B55" s="42">
        <v>3</v>
      </c>
      <c r="C55" s="171">
        <f t="shared" si="1"/>
        <v>13.67142857137369</v>
      </c>
      <c r="D55" s="172">
        <v>478.49999999807915</v>
      </c>
    </row>
    <row r="56" spans="1:5" x14ac:dyDescent="0.25">
      <c r="A56" s="183" t="s">
        <v>448</v>
      </c>
      <c r="B56" s="137">
        <v>8</v>
      </c>
      <c r="C56" s="171">
        <f>D56/32</f>
        <v>36.695312499919964</v>
      </c>
      <c r="D56" s="171">
        <f>SUM(D57:D58)</f>
        <v>1174.2499999974389</v>
      </c>
    </row>
    <row r="57" spans="1:5" x14ac:dyDescent="0.25">
      <c r="A57" s="126" t="s">
        <v>398</v>
      </c>
      <c r="B57" s="42">
        <v>3</v>
      </c>
      <c r="C57" s="179">
        <f t="shared" ref="C57:C58" si="2">D57/32</f>
        <v>13.92187499981992</v>
      </c>
      <c r="D57" s="172">
        <v>445.49999999423744</v>
      </c>
    </row>
    <row r="58" spans="1:5" x14ac:dyDescent="0.25">
      <c r="A58" s="126" t="s">
        <v>397</v>
      </c>
      <c r="B58" s="42">
        <v>5</v>
      </c>
      <c r="C58" s="179">
        <f t="shared" si="2"/>
        <v>22.773437500100044</v>
      </c>
      <c r="D58" s="172">
        <v>728.75000000320142</v>
      </c>
    </row>
    <row r="59" spans="1:5" x14ac:dyDescent="0.25">
      <c r="A59" s="183" t="s">
        <v>449</v>
      </c>
      <c r="B59" s="137"/>
      <c r="C59" s="137">
        <f>D59/230</f>
        <v>33</v>
      </c>
      <c r="D59" s="171">
        <v>7590</v>
      </c>
    </row>
    <row r="60" spans="1:5" x14ac:dyDescent="0.25">
      <c r="A60" s="126" t="s">
        <v>396</v>
      </c>
      <c r="B60" s="42"/>
      <c r="C60" s="137">
        <f t="shared" ref="C60:C61" si="3">D60/230</f>
        <v>16</v>
      </c>
      <c r="D60" s="172">
        <v>3680</v>
      </c>
    </row>
    <row r="61" spans="1:5" x14ac:dyDescent="0.25">
      <c r="A61" s="126" t="s">
        <v>397</v>
      </c>
      <c r="B61" s="42"/>
      <c r="C61" s="137">
        <f t="shared" si="3"/>
        <v>17</v>
      </c>
      <c r="D61" s="172">
        <v>3910</v>
      </c>
    </row>
    <row r="62" spans="1:5" x14ac:dyDescent="0.25">
      <c r="A62" s="176" t="s">
        <v>407</v>
      </c>
      <c r="B62" s="177">
        <v>393</v>
      </c>
      <c r="C62" s="177"/>
      <c r="D62" s="178">
        <v>64165.7499981086</v>
      </c>
    </row>
  </sheetData>
  <mergeCells count="1">
    <mergeCell ref="E47:E4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88F-6998-4DE0-864B-835DBDF83222}">
  <dimension ref="A1:E26"/>
  <sheetViews>
    <sheetView rightToLeft="1" tabSelected="1" workbookViewId="0">
      <selection activeCell="J8" sqref="J8"/>
    </sheetView>
  </sheetViews>
  <sheetFormatPr defaultRowHeight="13.8" x14ac:dyDescent="0.25"/>
  <cols>
    <col min="1" max="1" width="15" customWidth="1"/>
    <col min="2" max="2" width="7.19921875" customWidth="1"/>
    <col min="3" max="3" width="13.09765625" bestFit="1" customWidth="1"/>
    <col min="4" max="4" width="20.19921875" customWidth="1"/>
    <col min="5" max="5" width="7.09765625" customWidth="1"/>
  </cols>
  <sheetData>
    <row r="1" spans="1:5" ht="14.4" thickBot="1" x14ac:dyDescent="0.3">
      <c r="A1" s="89" t="s">
        <v>182</v>
      </c>
      <c r="B1" s="89" t="s">
        <v>83</v>
      </c>
      <c r="C1" s="89" t="s">
        <v>75</v>
      </c>
      <c r="D1" s="89" t="s">
        <v>303</v>
      </c>
      <c r="E1" s="89" t="s">
        <v>302</v>
      </c>
    </row>
    <row r="2" spans="1:5" ht="14.4" thickBot="1" x14ac:dyDescent="0.3">
      <c r="A2" s="90">
        <v>46036.28125</v>
      </c>
      <c r="B2" s="91">
        <v>9</v>
      </c>
      <c r="C2" s="91">
        <v>40.500000007334165</v>
      </c>
      <c r="D2" s="93">
        <v>1417.5000002566958</v>
      </c>
      <c r="E2" s="92">
        <v>35</v>
      </c>
    </row>
    <row r="3" spans="1:5" ht="14.4" thickBot="1" x14ac:dyDescent="0.3">
      <c r="A3" s="94">
        <v>46037.270833333299</v>
      </c>
      <c r="B3" s="96">
        <v>8</v>
      </c>
      <c r="C3" s="91">
        <v>38.000000013038516</v>
      </c>
      <c r="D3" s="97">
        <v>1330.0000004563481</v>
      </c>
      <c r="E3" s="87">
        <v>35</v>
      </c>
    </row>
    <row r="4" spans="1:5" ht="14.4" thickBot="1" x14ac:dyDescent="0.3">
      <c r="A4" s="94">
        <v>46041.270833333299</v>
      </c>
      <c r="B4" s="96">
        <v>8</v>
      </c>
      <c r="C4" s="91">
        <v>38.000000013038516</v>
      </c>
      <c r="D4" s="97">
        <v>1330.0000004563481</v>
      </c>
      <c r="E4" s="87">
        <v>35</v>
      </c>
    </row>
    <row r="5" spans="1:5" ht="14.4" thickBot="1" x14ac:dyDescent="0.3">
      <c r="A5" s="94">
        <v>46042.270833333299</v>
      </c>
      <c r="B5" s="96">
        <v>9</v>
      </c>
      <c r="C5" s="91">
        <v>42.750000014668331</v>
      </c>
      <c r="D5" s="97">
        <v>1496.2500005133916</v>
      </c>
      <c r="E5" s="87">
        <v>35</v>
      </c>
    </row>
    <row r="6" spans="1:5" ht="14.4" thickBot="1" x14ac:dyDescent="0.3">
      <c r="A6" s="94">
        <v>46043.270833333299</v>
      </c>
      <c r="B6" s="96">
        <v>9</v>
      </c>
      <c r="C6" s="91">
        <v>42.750000014668331</v>
      </c>
      <c r="D6" s="97">
        <v>1496.2500005133916</v>
      </c>
      <c r="E6" s="87">
        <v>35</v>
      </c>
    </row>
    <row r="7" spans="1:5" ht="14.4" thickBot="1" x14ac:dyDescent="0.3">
      <c r="A7" s="98">
        <v>46044.270833333299</v>
      </c>
      <c r="B7" s="99">
        <v>7</v>
      </c>
      <c r="C7" s="91">
        <v>29.75</v>
      </c>
      <c r="D7" s="101">
        <v>1041.25</v>
      </c>
      <c r="E7" s="100">
        <v>35</v>
      </c>
    </row>
    <row r="8" spans="1:5" s="105" customFormat="1" ht="14.4" thickBot="1" x14ac:dyDescent="0.3">
      <c r="A8" s="102" t="s">
        <v>118</v>
      </c>
      <c r="B8" s="103"/>
      <c r="C8" s="116">
        <v>231.75000006274786</v>
      </c>
      <c r="D8" s="120">
        <v>8111.250002196175</v>
      </c>
      <c r="E8" s="104"/>
    </row>
    <row r="9" spans="1:5" ht="14.4" thickBot="1" x14ac:dyDescent="0.3">
      <c r="A9" s="106">
        <v>46036.291666666701</v>
      </c>
      <c r="B9" s="107">
        <v>10</v>
      </c>
      <c r="C9" s="91">
        <v>45.833333335467614</v>
      </c>
      <c r="D9" s="109">
        <v>1604.1666667413665</v>
      </c>
      <c r="E9" s="108">
        <v>35</v>
      </c>
    </row>
    <row r="10" spans="1:5" ht="14.4" thickBot="1" x14ac:dyDescent="0.3">
      <c r="A10" s="94">
        <v>46037.291666666701</v>
      </c>
      <c r="B10" s="96">
        <v>10</v>
      </c>
      <c r="C10" s="91">
        <v>45.833333335467614</v>
      </c>
      <c r="D10" s="97">
        <v>1604.1666667413665</v>
      </c>
      <c r="E10" s="87">
        <v>35</v>
      </c>
    </row>
    <row r="11" spans="1:5" ht="14.4" thickBot="1" x14ac:dyDescent="0.3">
      <c r="A11" s="94">
        <v>46041.291666666701</v>
      </c>
      <c r="B11" s="96">
        <v>12</v>
      </c>
      <c r="C11" s="91">
        <v>56.999999990221113</v>
      </c>
      <c r="D11" s="97">
        <v>1994.999999657739</v>
      </c>
      <c r="E11" s="87">
        <v>35</v>
      </c>
    </row>
    <row r="12" spans="1:5" ht="14.4" thickBot="1" x14ac:dyDescent="0.3">
      <c r="A12" s="94">
        <v>46042.291666666701</v>
      </c>
      <c r="B12" s="96">
        <v>8</v>
      </c>
      <c r="C12" s="91">
        <v>35.999999986961484</v>
      </c>
      <c r="D12" s="97">
        <v>1259.9999995436519</v>
      </c>
      <c r="E12" s="87">
        <v>35</v>
      </c>
    </row>
    <row r="13" spans="1:5" ht="14.4" thickBot="1" x14ac:dyDescent="0.3">
      <c r="A13" s="94">
        <v>46043.291666666701</v>
      </c>
      <c r="B13" s="96">
        <v>7</v>
      </c>
      <c r="C13" s="91">
        <v>29.75</v>
      </c>
      <c r="D13" s="97">
        <v>1041.25</v>
      </c>
      <c r="E13" s="87">
        <v>35</v>
      </c>
    </row>
    <row r="14" spans="1:5" ht="14.4" thickBot="1" x14ac:dyDescent="0.3">
      <c r="A14" s="98">
        <v>46044.291666666701</v>
      </c>
      <c r="B14" s="99">
        <v>7</v>
      </c>
      <c r="C14" s="91">
        <v>31.499999988591298</v>
      </c>
      <c r="D14" s="101">
        <v>1102.4999996006954</v>
      </c>
      <c r="E14" s="100">
        <v>35</v>
      </c>
    </row>
    <row r="15" spans="1:5" ht="14.4" thickBot="1" x14ac:dyDescent="0.3">
      <c r="A15" s="110" t="s">
        <v>118</v>
      </c>
      <c r="B15" s="99"/>
      <c r="C15" s="116">
        <v>245.91666663670912</v>
      </c>
      <c r="D15" s="119">
        <v>8607.0833322848193</v>
      </c>
      <c r="E15" s="100"/>
    </row>
    <row r="16" spans="1:5" ht="14.4" thickBot="1" x14ac:dyDescent="0.3">
      <c r="A16" s="106">
        <v>46048.291666666664</v>
      </c>
      <c r="B16" s="107">
        <v>12</v>
      </c>
      <c r="C16" s="91">
        <v>57.000000000698492</v>
      </c>
      <c r="D16" s="109">
        <v>1995.0000000244472</v>
      </c>
      <c r="E16" s="108">
        <v>35</v>
      </c>
    </row>
    <row r="17" spans="1:5" ht="14.4" thickBot="1" x14ac:dyDescent="0.3">
      <c r="A17" s="94">
        <v>46049.291666666664</v>
      </c>
      <c r="B17" s="96">
        <v>9</v>
      </c>
      <c r="C17" s="91">
        <v>42.750000000523869</v>
      </c>
      <c r="D17" s="97">
        <v>1496.2500000183354</v>
      </c>
      <c r="E17" s="87">
        <v>35</v>
      </c>
    </row>
    <row r="18" spans="1:5" ht="14.4" thickBot="1" x14ac:dyDescent="0.3">
      <c r="A18" s="94">
        <v>46050.291666666664</v>
      </c>
      <c r="B18" s="96">
        <v>8</v>
      </c>
      <c r="C18" s="91">
        <v>32</v>
      </c>
      <c r="D18" s="97">
        <v>1120</v>
      </c>
      <c r="E18" s="87">
        <v>35</v>
      </c>
    </row>
    <row r="19" spans="1:5" ht="14.4" thickBot="1" x14ac:dyDescent="0.3">
      <c r="A19" s="110" t="s">
        <v>118</v>
      </c>
      <c r="B19" s="99"/>
      <c r="C19" s="116">
        <v>131.75000000122236</v>
      </c>
      <c r="D19" s="119">
        <v>4611.2500000427826</v>
      </c>
      <c r="E19" s="100"/>
    </row>
    <row r="20" spans="1:5" ht="14.4" thickBot="1" x14ac:dyDescent="0.3">
      <c r="A20" s="106">
        <v>46048.291666666664</v>
      </c>
      <c r="B20" s="107">
        <v>9</v>
      </c>
      <c r="C20" s="91">
        <v>42.750000000523869</v>
      </c>
      <c r="D20" s="109">
        <v>1496.2500000183354</v>
      </c>
      <c r="E20" s="108">
        <v>35</v>
      </c>
    </row>
    <row r="21" spans="1:5" ht="14.4" thickBot="1" x14ac:dyDescent="0.3">
      <c r="A21" s="94">
        <v>46049.291666666664</v>
      </c>
      <c r="B21" s="96">
        <v>8</v>
      </c>
      <c r="C21" s="91">
        <v>37.999999999068677</v>
      </c>
      <c r="D21" s="97">
        <v>1329.9999999674037</v>
      </c>
      <c r="E21" s="87">
        <v>35</v>
      </c>
    </row>
    <row r="22" spans="1:5" ht="14.4" thickBot="1" x14ac:dyDescent="0.3">
      <c r="A22" s="94">
        <v>46049.291666666664</v>
      </c>
      <c r="B22" s="96">
        <v>1</v>
      </c>
      <c r="C22" s="91">
        <v>2.9999999999417923</v>
      </c>
      <c r="D22" s="97">
        <v>104.99999999796273</v>
      </c>
      <c r="E22" s="87">
        <v>35</v>
      </c>
    </row>
    <row r="23" spans="1:5" ht="14.4" thickBot="1" x14ac:dyDescent="0.3">
      <c r="A23" s="94">
        <v>46050.291666666664</v>
      </c>
      <c r="B23" s="96">
        <v>9</v>
      </c>
      <c r="C23" s="91">
        <v>42.749999998952262</v>
      </c>
      <c r="D23" s="97">
        <v>1496.2499999633292</v>
      </c>
      <c r="E23" s="87">
        <v>35</v>
      </c>
    </row>
    <row r="24" spans="1:5" x14ac:dyDescent="0.25">
      <c r="A24" s="94">
        <v>46051.291666666664</v>
      </c>
      <c r="B24" s="96">
        <v>18</v>
      </c>
      <c r="C24" s="91">
        <v>90</v>
      </c>
      <c r="D24" s="97">
        <v>3150</v>
      </c>
      <c r="E24" s="87">
        <v>35</v>
      </c>
    </row>
    <row r="25" spans="1:5" ht="14.4" thickBot="1" x14ac:dyDescent="0.3">
      <c r="A25" s="111" t="s">
        <v>118</v>
      </c>
      <c r="B25" s="112"/>
      <c r="C25" s="117">
        <v>216.4999999984866</v>
      </c>
      <c r="D25" s="114">
        <v>7577.499999947031</v>
      </c>
      <c r="E25" s="113"/>
    </row>
    <row r="26" spans="1:5" ht="16.2" thickBot="1" x14ac:dyDescent="0.3">
      <c r="A26" s="115"/>
      <c r="B26" s="115"/>
      <c r="C26" s="118">
        <v>825.91666669916594</v>
      </c>
      <c r="D26" s="168">
        <v>28907.083334470808</v>
      </c>
      <c r="E26" s="115"/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9E37-ACC0-43FE-AA0F-234EA6FF9EE4}">
  <dimension ref="A1:K75"/>
  <sheetViews>
    <sheetView rightToLeft="1" topLeftCell="D19" workbookViewId="0">
      <selection activeCell="J19" sqref="J19"/>
    </sheetView>
  </sheetViews>
  <sheetFormatPr defaultRowHeight="13.8" x14ac:dyDescent="0.25"/>
  <cols>
    <col min="1" max="1" width="0" hidden="1" customWidth="1"/>
    <col min="2" max="2" width="0" style="121" hidden="1" customWidth="1"/>
    <col min="3" max="3" width="0" style="122" hidden="1" customWidth="1"/>
    <col min="4" max="4" width="28" style="121" customWidth="1"/>
    <col min="5" max="5" width="15.796875" style="121" customWidth="1"/>
    <col min="6" max="6" width="16.8984375" style="123" customWidth="1"/>
    <col min="7" max="7" width="12.796875" style="121" customWidth="1"/>
    <col min="8" max="8" width="16.5" style="123" customWidth="1"/>
    <col min="9" max="9" width="23.09765625" style="121" customWidth="1"/>
    <col min="10" max="10" width="19.8984375" style="14" customWidth="1"/>
    <col min="11" max="11" width="18.59765625" customWidth="1"/>
  </cols>
  <sheetData>
    <row r="1" spans="1:11" x14ac:dyDescent="0.25">
      <c r="A1" t="s">
        <v>193</v>
      </c>
      <c r="B1" t="s">
        <v>194</v>
      </c>
      <c r="C1" t="s">
        <v>195</v>
      </c>
      <c r="D1"/>
      <c r="E1"/>
      <c r="F1"/>
      <c r="G1"/>
      <c r="H1"/>
      <c r="I1"/>
      <c r="J1"/>
    </row>
    <row r="2" spans="1:11" ht="13.05" customHeight="1" x14ac:dyDescent="0.25">
      <c r="D2"/>
      <c r="E2"/>
      <c r="F2"/>
      <c r="G2"/>
      <c r="H2"/>
      <c r="I2"/>
      <c r="J2"/>
    </row>
    <row r="3" spans="1:11" s="127" customFormat="1" ht="31.05" customHeight="1" x14ac:dyDescent="0.25">
      <c r="A3" s="127" t="s">
        <v>193</v>
      </c>
      <c r="B3" s="128" t="s">
        <v>194</v>
      </c>
      <c r="C3" s="129" t="s">
        <v>195</v>
      </c>
      <c r="D3" s="130" t="s">
        <v>196</v>
      </c>
      <c r="E3" s="130" t="s">
        <v>197</v>
      </c>
      <c r="F3" s="131" t="s">
        <v>198</v>
      </c>
      <c r="G3" s="130" t="s">
        <v>199</v>
      </c>
      <c r="H3" s="131" t="s">
        <v>200</v>
      </c>
      <c r="I3" s="130" t="s">
        <v>201</v>
      </c>
      <c r="J3" s="132" t="s">
        <v>202</v>
      </c>
    </row>
    <row r="4" spans="1:11" x14ac:dyDescent="0.25">
      <c r="D4" s="124" t="s">
        <v>306</v>
      </c>
      <c r="E4" s="124" t="s">
        <v>307</v>
      </c>
      <c r="F4" s="125" t="s">
        <v>308</v>
      </c>
      <c r="G4" s="124" t="s">
        <v>309</v>
      </c>
      <c r="H4" s="125" t="s">
        <v>310</v>
      </c>
      <c r="I4" s="124" t="s">
        <v>311</v>
      </c>
      <c r="J4" s="126" t="s">
        <v>312</v>
      </c>
    </row>
    <row r="5" spans="1:11" x14ac:dyDescent="0.25">
      <c r="D5" s="124" t="s">
        <v>203</v>
      </c>
      <c r="E5" s="124" t="s">
        <v>204</v>
      </c>
      <c r="F5" s="125" t="s">
        <v>113</v>
      </c>
      <c r="G5" s="124" t="s">
        <v>205</v>
      </c>
      <c r="H5" s="125" t="s">
        <v>114</v>
      </c>
      <c r="I5" s="124" t="s">
        <v>44</v>
      </c>
      <c r="J5" s="126" t="s">
        <v>112</v>
      </c>
    </row>
    <row r="6" spans="1:11" x14ac:dyDescent="0.25">
      <c r="D6" s="124" t="s">
        <v>78</v>
      </c>
      <c r="E6" s="124" t="s">
        <v>41</v>
      </c>
      <c r="F6" s="125" t="s">
        <v>125</v>
      </c>
      <c r="G6" s="124" t="s">
        <v>206</v>
      </c>
      <c r="H6" s="125" t="s">
        <v>69</v>
      </c>
      <c r="I6" s="124" t="s">
        <v>41</v>
      </c>
      <c r="J6" s="126" t="s">
        <v>70</v>
      </c>
    </row>
    <row r="7" spans="1:11" x14ac:dyDescent="0.25">
      <c r="D7" s="124" t="s">
        <v>208</v>
      </c>
      <c r="E7" s="124" t="s">
        <v>34</v>
      </c>
      <c r="F7" s="125" t="s">
        <v>105</v>
      </c>
      <c r="G7" s="124" t="s">
        <v>209</v>
      </c>
      <c r="H7" s="125" t="s">
        <v>106</v>
      </c>
      <c r="I7" s="124" t="s">
        <v>34</v>
      </c>
      <c r="J7" s="126" t="s">
        <v>107</v>
      </c>
    </row>
    <row r="8" spans="1:11" x14ac:dyDescent="0.25">
      <c r="D8" s="124" t="s">
        <v>210</v>
      </c>
      <c r="E8" s="124" t="s">
        <v>211</v>
      </c>
      <c r="F8" s="125" t="s">
        <v>115</v>
      </c>
      <c r="G8" s="124" t="s">
        <v>212</v>
      </c>
      <c r="H8" s="125" t="s">
        <v>116</v>
      </c>
      <c r="I8" s="124" t="s">
        <v>46</v>
      </c>
      <c r="J8" s="126" t="s">
        <v>117</v>
      </c>
    </row>
    <row r="9" spans="1:11" x14ac:dyDescent="0.25">
      <c r="D9" s="124" t="s">
        <v>184</v>
      </c>
      <c r="E9" s="124" t="s">
        <v>191</v>
      </c>
      <c r="F9" s="125" t="s">
        <v>166</v>
      </c>
      <c r="G9" s="124" t="s">
        <v>213</v>
      </c>
      <c r="H9" s="125" t="s">
        <v>84</v>
      </c>
      <c r="I9" s="124" t="s">
        <v>24</v>
      </c>
      <c r="J9" s="126" t="s">
        <v>85</v>
      </c>
    </row>
    <row r="10" spans="1:11" x14ac:dyDescent="0.25">
      <c r="D10" s="124" t="s">
        <v>313</v>
      </c>
      <c r="E10" s="124" t="s">
        <v>314</v>
      </c>
      <c r="F10" s="125" t="s">
        <v>315</v>
      </c>
      <c r="G10" s="124" t="s">
        <v>316</v>
      </c>
      <c r="H10" s="125" t="s">
        <v>317</v>
      </c>
      <c r="I10" s="124" t="s">
        <v>318</v>
      </c>
      <c r="J10" s="126" t="s">
        <v>319</v>
      </c>
    </row>
    <row r="11" spans="1:11" x14ac:dyDescent="0.25">
      <c r="D11" s="124" t="s">
        <v>173</v>
      </c>
      <c r="E11" s="124" t="s">
        <v>214</v>
      </c>
      <c r="F11" s="125" t="s">
        <v>126</v>
      </c>
      <c r="G11" s="124" t="s">
        <v>129</v>
      </c>
      <c r="H11" s="125" t="s">
        <v>127</v>
      </c>
      <c r="I11" s="124" t="s">
        <v>129</v>
      </c>
      <c r="J11" s="126" t="s">
        <v>128</v>
      </c>
    </row>
    <row r="12" spans="1:11" x14ac:dyDescent="0.25">
      <c r="D12" s="124" t="s">
        <v>77</v>
      </c>
      <c r="E12" s="124" t="s">
        <v>215</v>
      </c>
      <c r="F12" s="125" t="s">
        <v>124</v>
      </c>
      <c r="G12" s="124" t="s">
        <v>216</v>
      </c>
      <c r="H12" s="125" t="s">
        <v>67</v>
      </c>
      <c r="I12" s="124" t="s">
        <v>38</v>
      </c>
      <c r="J12" s="126" t="s">
        <v>68</v>
      </c>
      <c r="K12" s="191" t="s">
        <v>541</v>
      </c>
    </row>
    <row r="13" spans="1:11" x14ac:dyDescent="0.25">
      <c r="D13" s="124" t="s">
        <v>217</v>
      </c>
      <c r="E13" s="124" t="s">
        <v>41</v>
      </c>
      <c r="F13" s="125" t="s">
        <v>125</v>
      </c>
      <c r="G13" s="124" t="s">
        <v>206</v>
      </c>
      <c r="H13" s="125" t="s">
        <v>69</v>
      </c>
      <c r="I13" s="124" t="s">
        <v>41</v>
      </c>
      <c r="J13" s="126" t="s">
        <v>70</v>
      </c>
    </row>
    <row r="14" spans="1:11" x14ac:dyDescent="0.25">
      <c r="D14" s="124" t="s">
        <v>185</v>
      </c>
      <c r="E14" s="124" t="s">
        <v>218</v>
      </c>
      <c r="F14" s="125" t="s">
        <v>167</v>
      </c>
      <c r="G14" s="124" t="s">
        <v>219</v>
      </c>
      <c r="H14" s="125"/>
      <c r="I14" s="124"/>
      <c r="J14" s="126"/>
    </row>
    <row r="15" spans="1:11" x14ac:dyDescent="0.25">
      <c r="D15" s="124" t="s">
        <v>320</v>
      </c>
      <c r="E15" s="124" t="s">
        <v>321</v>
      </c>
      <c r="F15" s="125" t="s">
        <v>322</v>
      </c>
      <c r="G15" s="124" t="s">
        <v>323</v>
      </c>
      <c r="H15" s="125" t="s">
        <v>324</v>
      </c>
      <c r="I15" s="124" t="s">
        <v>325</v>
      </c>
      <c r="J15" s="126" t="s">
        <v>326</v>
      </c>
    </row>
    <row r="16" spans="1:11" x14ac:dyDescent="0.25">
      <c r="D16" s="124" t="s">
        <v>170</v>
      </c>
      <c r="E16" s="124" t="s">
        <v>220</v>
      </c>
      <c r="F16" s="125" t="s">
        <v>221</v>
      </c>
      <c r="G16" s="124" t="s">
        <v>58</v>
      </c>
      <c r="H16" s="125" t="s">
        <v>222</v>
      </c>
      <c r="I16" s="124" t="s">
        <v>20</v>
      </c>
      <c r="J16" s="126" t="s">
        <v>223</v>
      </c>
    </row>
    <row r="17" spans="4:11" x14ac:dyDescent="0.25">
      <c r="D17" s="124" t="s">
        <v>327</v>
      </c>
      <c r="E17" s="124" t="s">
        <v>328</v>
      </c>
      <c r="F17" s="125" t="s">
        <v>329</v>
      </c>
      <c r="G17" s="124" t="s">
        <v>259</v>
      </c>
      <c r="H17" s="125" t="s">
        <v>330</v>
      </c>
      <c r="I17" s="124" t="s">
        <v>331</v>
      </c>
      <c r="J17" s="126" t="s">
        <v>332</v>
      </c>
    </row>
    <row r="18" spans="4:11" x14ac:dyDescent="0.25">
      <c r="D18" s="124" t="s">
        <v>224</v>
      </c>
      <c r="E18" s="124" t="s">
        <v>225</v>
      </c>
      <c r="F18" s="125" t="s">
        <v>109</v>
      </c>
      <c r="G18" s="124" t="s">
        <v>151</v>
      </c>
      <c r="H18" s="125" t="s">
        <v>110</v>
      </c>
      <c r="I18" s="124" t="s">
        <v>45</v>
      </c>
      <c r="J18" s="126" t="s">
        <v>111</v>
      </c>
    </row>
    <row r="19" spans="4:11" x14ac:dyDescent="0.25">
      <c r="D19" s="124" t="s">
        <v>168</v>
      </c>
      <c r="E19" s="124" t="s">
        <v>226</v>
      </c>
      <c r="F19" s="125" t="s">
        <v>135</v>
      </c>
      <c r="G19" s="124" t="s">
        <v>227</v>
      </c>
      <c r="H19" s="125" t="s">
        <v>136</v>
      </c>
      <c r="I19" s="124" t="s">
        <v>137</v>
      </c>
      <c r="J19" s="126" t="s">
        <v>134</v>
      </c>
    </row>
    <row r="20" spans="4:11" x14ac:dyDescent="0.25">
      <c r="D20" s="124" t="s">
        <v>79</v>
      </c>
      <c r="E20" s="124" t="s">
        <v>228</v>
      </c>
      <c r="F20" s="125" t="s">
        <v>122</v>
      </c>
      <c r="G20" s="124" t="s">
        <v>79</v>
      </c>
      <c r="H20" s="125" t="s">
        <v>71</v>
      </c>
      <c r="I20" s="124" t="s">
        <v>40</v>
      </c>
      <c r="J20" s="126" t="s">
        <v>333</v>
      </c>
    </row>
    <row r="21" spans="4:11" x14ac:dyDescent="0.25">
      <c r="D21" s="124" t="s">
        <v>229</v>
      </c>
      <c r="E21" s="124" t="s">
        <v>230</v>
      </c>
      <c r="F21" s="125" t="s">
        <v>159</v>
      </c>
      <c r="G21" s="124" t="s">
        <v>231</v>
      </c>
      <c r="H21" s="125" t="s">
        <v>160</v>
      </c>
      <c r="I21" s="124" t="s">
        <v>230</v>
      </c>
      <c r="J21" s="126" t="s">
        <v>158</v>
      </c>
    </row>
    <row r="22" spans="4:11" x14ac:dyDescent="0.25">
      <c r="D22" s="124" t="s">
        <v>334</v>
      </c>
      <c r="E22" s="124" t="s">
        <v>335</v>
      </c>
      <c r="F22" s="125" t="s">
        <v>336</v>
      </c>
      <c r="G22" s="124" t="s">
        <v>254</v>
      </c>
      <c r="H22" s="125" t="s">
        <v>337</v>
      </c>
      <c r="I22" s="124" t="s">
        <v>338</v>
      </c>
      <c r="J22" s="126" t="s">
        <v>339</v>
      </c>
    </row>
    <row r="23" spans="4:11" x14ac:dyDescent="0.25">
      <c r="D23" s="124" t="s">
        <v>178</v>
      </c>
      <c r="E23" s="124" t="s">
        <v>150</v>
      </c>
      <c r="F23" s="125" t="s">
        <v>147</v>
      </c>
      <c r="G23" s="124" t="s">
        <v>227</v>
      </c>
      <c r="H23" s="125" t="s">
        <v>148</v>
      </c>
      <c r="I23" s="124" t="s">
        <v>150</v>
      </c>
      <c r="J23" s="126" t="s">
        <v>149</v>
      </c>
    </row>
    <row r="24" spans="4:11" x14ac:dyDescent="0.25">
      <c r="D24" s="124" t="s">
        <v>188</v>
      </c>
      <c r="E24" s="124" t="s">
        <v>232</v>
      </c>
      <c r="F24" s="125" t="s">
        <v>162</v>
      </c>
      <c r="G24" s="124" t="s">
        <v>233</v>
      </c>
      <c r="H24" s="125" t="s">
        <v>163</v>
      </c>
      <c r="I24" s="124" t="s">
        <v>164</v>
      </c>
      <c r="J24" s="126" t="s">
        <v>161</v>
      </c>
    </row>
    <row r="25" spans="4:11" x14ac:dyDescent="0.25">
      <c r="D25" s="124" t="s">
        <v>186</v>
      </c>
      <c r="E25" s="124" t="s">
        <v>234</v>
      </c>
      <c r="F25" s="125" t="s">
        <v>235</v>
      </c>
      <c r="G25" s="124" t="s">
        <v>236</v>
      </c>
      <c r="H25" s="125" t="s">
        <v>237</v>
      </c>
      <c r="I25" s="124" t="s">
        <v>28</v>
      </c>
      <c r="J25" s="126" t="s">
        <v>238</v>
      </c>
    </row>
    <row r="26" spans="4:11" x14ac:dyDescent="0.25">
      <c r="D26" s="124" t="s">
        <v>172</v>
      </c>
      <c r="E26" s="124" t="s">
        <v>239</v>
      </c>
      <c r="F26" s="125" t="s">
        <v>240</v>
      </c>
      <c r="G26" s="124" t="s">
        <v>58</v>
      </c>
      <c r="H26" s="125" t="s">
        <v>139</v>
      </c>
      <c r="I26" s="124" t="s">
        <v>16</v>
      </c>
      <c r="J26" s="126" t="s">
        <v>138</v>
      </c>
      <c r="K26" s="191" t="s">
        <v>534</v>
      </c>
    </row>
    <row r="27" spans="4:11" x14ac:dyDescent="0.25">
      <c r="D27" s="124" t="s">
        <v>242</v>
      </c>
      <c r="E27" s="124" t="s">
        <v>243</v>
      </c>
      <c r="F27" s="125" t="s">
        <v>244</v>
      </c>
      <c r="G27" s="124" t="s">
        <v>245</v>
      </c>
      <c r="H27" s="125" t="s">
        <v>246</v>
      </c>
      <c r="I27" s="124" t="s">
        <v>247</v>
      </c>
      <c r="J27" s="126" t="s">
        <v>86</v>
      </c>
    </row>
    <row r="28" spans="4:11" x14ac:dyDescent="0.25">
      <c r="D28" s="124" t="s">
        <v>174</v>
      </c>
      <c r="E28" s="124" t="s">
        <v>248</v>
      </c>
      <c r="F28" s="125" t="s">
        <v>141</v>
      </c>
      <c r="G28" s="124" t="s">
        <v>58</v>
      </c>
      <c r="H28" s="125" t="s">
        <v>142</v>
      </c>
      <c r="I28" s="124" t="s">
        <v>17</v>
      </c>
      <c r="J28" s="126" t="s">
        <v>140</v>
      </c>
    </row>
    <row r="29" spans="4:11" x14ac:dyDescent="0.25">
      <c r="D29" s="124" t="s">
        <v>340</v>
      </c>
      <c r="E29" s="124" t="s">
        <v>341</v>
      </c>
      <c r="F29" s="125" t="s">
        <v>342</v>
      </c>
      <c r="G29" s="124" t="s">
        <v>343</v>
      </c>
      <c r="H29" s="125" t="s">
        <v>344</v>
      </c>
      <c r="I29" s="124" t="s">
        <v>345</v>
      </c>
      <c r="J29" s="126" t="s">
        <v>346</v>
      </c>
    </row>
    <row r="30" spans="4:11" x14ac:dyDescent="0.25">
      <c r="D30" s="124" t="s">
        <v>347</v>
      </c>
      <c r="E30" s="124" t="s">
        <v>347</v>
      </c>
      <c r="F30" s="125" t="s">
        <v>348</v>
      </c>
      <c r="G30" s="124" t="s">
        <v>349</v>
      </c>
      <c r="H30" s="125" t="s">
        <v>350</v>
      </c>
      <c r="I30" s="124" t="s">
        <v>351</v>
      </c>
      <c r="J30" s="126" t="s">
        <v>352</v>
      </c>
    </row>
    <row r="31" spans="4:11" x14ac:dyDescent="0.25">
      <c r="D31" s="124" t="s">
        <v>353</v>
      </c>
      <c r="E31" s="124" t="s">
        <v>354</v>
      </c>
      <c r="F31" s="125" t="s">
        <v>355</v>
      </c>
      <c r="G31" s="124" t="s">
        <v>356</v>
      </c>
      <c r="H31" s="125" t="s">
        <v>357</v>
      </c>
      <c r="I31" s="124" t="s">
        <v>354</v>
      </c>
      <c r="J31" s="126" t="s">
        <v>358</v>
      </c>
    </row>
    <row r="32" spans="4:11" x14ac:dyDescent="0.25">
      <c r="D32" s="124" t="s">
        <v>249</v>
      </c>
      <c r="E32" s="124" t="s">
        <v>250</v>
      </c>
      <c r="F32" s="125" t="s">
        <v>251</v>
      </c>
      <c r="G32" s="124" t="s">
        <v>252</v>
      </c>
      <c r="H32" s="125" t="s">
        <v>156</v>
      </c>
      <c r="I32" s="124" t="s">
        <v>157</v>
      </c>
      <c r="J32" s="126" t="s">
        <v>155</v>
      </c>
    </row>
    <row r="33" spans="4:10" x14ac:dyDescent="0.25">
      <c r="D33" s="124" t="s">
        <v>304</v>
      </c>
      <c r="E33" s="124" t="s">
        <v>359</v>
      </c>
      <c r="F33" s="125" t="s">
        <v>360</v>
      </c>
      <c r="G33" s="124" t="s">
        <v>361</v>
      </c>
      <c r="H33" s="125" t="s">
        <v>362</v>
      </c>
      <c r="I33" s="124" t="s">
        <v>363</v>
      </c>
      <c r="J33" s="126" t="s">
        <v>364</v>
      </c>
    </row>
    <row r="34" spans="4:10" x14ac:dyDescent="0.25">
      <c r="D34" s="124" t="s">
        <v>190</v>
      </c>
      <c r="E34" s="124" t="s">
        <v>253</v>
      </c>
      <c r="F34" s="125" t="s">
        <v>92</v>
      </c>
      <c r="G34" s="124" t="s">
        <v>254</v>
      </c>
      <c r="H34" s="125" t="s">
        <v>93</v>
      </c>
      <c r="I34" s="124" t="s">
        <v>29</v>
      </c>
      <c r="J34" s="126" t="s">
        <v>94</v>
      </c>
    </row>
    <row r="35" spans="4:10" x14ac:dyDescent="0.25">
      <c r="D35" s="124" t="s">
        <v>189</v>
      </c>
      <c r="E35" s="124" t="s">
        <v>192</v>
      </c>
      <c r="F35" s="125" t="s">
        <v>255</v>
      </c>
      <c r="G35" s="124" t="s">
        <v>256</v>
      </c>
      <c r="H35" s="125" t="s">
        <v>87</v>
      </c>
      <c r="I35" s="124" t="s">
        <v>23</v>
      </c>
      <c r="J35" s="126" t="s">
        <v>88</v>
      </c>
    </row>
    <row r="36" spans="4:10" x14ac:dyDescent="0.25">
      <c r="D36" s="124" t="s">
        <v>82</v>
      </c>
      <c r="E36" s="124" t="s">
        <v>257</v>
      </c>
      <c r="F36" s="125" t="s">
        <v>123</v>
      </c>
      <c r="G36" s="124" t="s">
        <v>76</v>
      </c>
      <c r="H36" s="125" t="s">
        <v>74</v>
      </c>
      <c r="I36" s="124" t="s">
        <v>37</v>
      </c>
      <c r="J36" s="126" t="s">
        <v>258</v>
      </c>
    </row>
    <row r="37" spans="4:10" x14ac:dyDescent="0.25">
      <c r="D37" s="124" t="s">
        <v>177</v>
      </c>
      <c r="E37" s="124" t="s">
        <v>11</v>
      </c>
      <c r="F37" s="125" t="s">
        <v>133</v>
      </c>
      <c r="G37" s="124" t="s">
        <v>58</v>
      </c>
      <c r="H37" s="125" t="s">
        <v>152</v>
      </c>
      <c r="I37" s="124" t="s">
        <v>11</v>
      </c>
      <c r="J37" s="126" t="s">
        <v>153</v>
      </c>
    </row>
    <row r="38" spans="4:10" x14ac:dyDescent="0.25">
      <c r="D38" s="124" t="s">
        <v>260</v>
      </c>
      <c r="E38" s="124" t="s">
        <v>261</v>
      </c>
      <c r="F38" s="125" t="s">
        <v>89</v>
      </c>
      <c r="G38" s="124" t="s">
        <v>207</v>
      </c>
      <c r="H38" s="125" t="s">
        <v>90</v>
      </c>
      <c r="I38" s="124" t="s">
        <v>25</v>
      </c>
      <c r="J38" s="126" t="s">
        <v>91</v>
      </c>
    </row>
    <row r="39" spans="4:10" x14ac:dyDescent="0.25">
      <c r="D39" s="124" t="s">
        <v>169</v>
      </c>
      <c r="E39" s="124" t="s">
        <v>13</v>
      </c>
      <c r="F39" s="125" t="s">
        <v>145</v>
      </c>
      <c r="G39" s="124" t="s">
        <v>58</v>
      </c>
      <c r="H39" s="125" t="s">
        <v>146</v>
      </c>
      <c r="I39" s="124" t="s">
        <v>13</v>
      </c>
      <c r="J39" s="126" t="s">
        <v>144</v>
      </c>
    </row>
    <row r="40" spans="4:10" x14ac:dyDescent="0.25">
      <c r="D40" s="124" t="s">
        <v>365</v>
      </c>
      <c r="E40" s="124" t="s">
        <v>366</v>
      </c>
      <c r="F40" s="125" t="s">
        <v>367</v>
      </c>
      <c r="G40" s="124" t="s">
        <v>213</v>
      </c>
      <c r="H40" s="125" t="s">
        <v>368</v>
      </c>
      <c r="I40" s="124" t="s">
        <v>366</v>
      </c>
      <c r="J40" s="126" t="s">
        <v>369</v>
      </c>
    </row>
    <row r="41" spans="4:10" x14ac:dyDescent="0.25">
      <c r="D41" s="124" t="s">
        <v>76</v>
      </c>
      <c r="E41" s="124" t="s">
        <v>262</v>
      </c>
      <c r="F41" s="125" t="s">
        <v>263</v>
      </c>
      <c r="G41" s="124" t="s">
        <v>76</v>
      </c>
      <c r="H41" s="125" t="s">
        <v>65</v>
      </c>
      <c r="I41" s="124" t="s">
        <v>42</v>
      </c>
      <c r="J41" s="126" t="s">
        <v>66</v>
      </c>
    </row>
    <row r="42" spans="4:10" x14ac:dyDescent="0.25">
      <c r="D42" s="124" t="s">
        <v>119</v>
      </c>
      <c r="E42" s="124" t="s">
        <v>264</v>
      </c>
      <c r="F42" s="125" t="s">
        <v>154</v>
      </c>
      <c r="G42" s="124" t="s">
        <v>265</v>
      </c>
      <c r="H42" s="125" t="s">
        <v>266</v>
      </c>
      <c r="I42" s="124" t="s">
        <v>48</v>
      </c>
      <c r="J42" s="186" t="s">
        <v>542</v>
      </c>
    </row>
    <row r="43" spans="4:10" x14ac:dyDescent="0.25">
      <c r="D43" s="124" t="s">
        <v>183</v>
      </c>
      <c r="E43" s="124" t="s">
        <v>267</v>
      </c>
      <c r="F43" s="125" t="s">
        <v>268</v>
      </c>
      <c r="G43" s="124" t="s">
        <v>62</v>
      </c>
      <c r="H43" s="125" t="s">
        <v>180</v>
      </c>
      <c r="I43" s="124" t="s">
        <v>179</v>
      </c>
      <c r="J43" s="126" t="s">
        <v>181</v>
      </c>
    </row>
    <row r="44" spans="4:10" x14ac:dyDescent="0.25">
      <c r="D44" s="124" t="s">
        <v>269</v>
      </c>
      <c r="E44" s="124" t="s">
        <v>270</v>
      </c>
      <c r="F44" s="125" t="s">
        <v>102</v>
      </c>
      <c r="G44" s="124" t="s">
        <v>271</v>
      </c>
      <c r="H44" s="125" t="s">
        <v>103</v>
      </c>
      <c r="I44" s="124" t="s">
        <v>33</v>
      </c>
      <c r="J44" s="126" t="s">
        <v>104</v>
      </c>
    </row>
    <row r="45" spans="4:10" x14ac:dyDescent="0.25">
      <c r="D45" s="124" t="s">
        <v>272</v>
      </c>
      <c r="E45" s="124" t="s">
        <v>273</v>
      </c>
      <c r="F45" s="125" t="s">
        <v>95</v>
      </c>
      <c r="G45" s="124" t="s">
        <v>108</v>
      </c>
      <c r="H45" s="125" t="s">
        <v>96</v>
      </c>
      <c r="I45" s="124" t="s">
        <v>98</v>
      </c>
      <c r="J45" s="126" t="s">
        <v>97</v>
      </c>
    </row>
    <row r="46" spans="4:10" x14ac:dyDescent="0.25">
      <c r="D46" s="124" t="s">
        <v>370</v>
      </c>
      <c r="E46" s="124" t="s">
        <v>371</v>
      </c>
      <c r="F46" s="125" t="s">
        <v>372</v>
      </c>
      <c r="G46" s="124" t="s">
        <v>259</v>
      </c>
      <c r="H46" s="125" t="s">
        <v>373</v>
      </c>
      <c r="I46" s="124" t="s">
        <v>371</v>
      </c>
      <c r="J46" s="126" t="s">
        <v>374</v>
      </c>
    </row>
    <row r="47" spans="4:10" x14ac:dyDescent="0.25">
      <c r="D47" s="124" t="s">
        <v>171</v>
      </c>
      <c r="E47" s="124" t="s">
        <v>275</v>
      </c>
      <c r="F47" s="125" t="s">
        <v>131</v>
      </c>
      <c r="G47" s="124" t="s">
        <v>143</v>
      </c>
      <c r="H47" s="125" t="s">
        <v>132</v>
      </c>
      <c r="I47" s="124" t="s">
        <v>15</v>
      </c>
      <c r="J47" s="126" t="s">
        <v>130</v>
      </c>
    </row>
    <row r="48" spans="4:10" x14ac:dyDescent="0.25">
      <c r="D48" s="124" t="s">
        <v>187</v>
      </c>
      <c r="E48" s="124" t="s">
        <v>276</v>
      </c>
      <c r="F48" s="125" t="s">
        <v>277</v>
      </c>
      <c r="G48" s="124" t="s">
        <v>165</v>
      </c>
      <c r="H48" s="125" t="s">
        <v>278</v>
      </c>
      <c r="I48" s="124" t="s">
        <v>279</v>
      </c>
      <c r="J48" s="126" t="s">
        <v>280</v>
      </c>
    </row>
    <row r="49" spans="4:10" x14ac:dyDescent="0.25">
      <c r="D49" s="124" t="s">
        <v>120</v>
      </c>
      <c r="E49" s="124" t="s">
        <v>281</v>
      </c>
      <c r="F49" s="125" t="s">
        <v>99</v>
      </c>
      <c r="G49" s="124" t="s">
        <v>274</v>
      </c>
      <c r="H49" s="125" t="s">
        <v>100</v>
      </c>
      <c r="I49" s="124" t="s">
        <v>32</v>
      </c>
      <c r="J49" s="126" t="s">
        <v>101</v>
      </c>
    </row>
    <row r="50" spans="4:10" x14ac:dyDescent="0.25">
      <c r="D50" s="124" t="s">
        <v>80</v>
      </c>
      <c r="E50" s="124" t="s">
        <v>282</v>
      </c>
      <c r="F50" s="125" t="s">
        <v>283</v>
      </c>
      <c r="G50" s="124" t="s">
        <v>284</v>
      </c>
      <c r="H50" s="125" t="s">
        <v>285</v>
      </c>
      <c r="I50" s="124" t="s">
        <v>39</v>
      </c>
      <c r="J50" s="126" t="s">
        <v>286</v>
      </c>
    </row>
    <row r="51" spans="4:10" x14ac:dyDescent="0.25">
      <c r="D51" s="124" t="s">
        <v>81</v>
      </c>
      <c r="E51" s="124" t="s">
        <v>287</v>
      </c>
      <c r="F51" s="125" t="s">
        <v>121</v>
      </c>
      <c r="G51" s="124" t="s">
        <v>81</v>
      </c>
      <c r="H51" s="125" t="s">
        <v>72</v>
      </c>
      <c r="I51" s="124" t="s">
        <v>35</v>
      </c>
      <c r="J51" s="126" t="s">
        <v>73</v>
      </c>
    </row>
    <row r="52" spans="4:10" x14ac:dyDescent="0.25">
      <c r="D52" s="124" t="s">
        <v>375</v>
      </c>
      <c r="E52" s="124" t="s">
        <v>376</v>
      </c>
      <c r="F52" s="125" t="s">
        <v>377</v>
      </c>
      <c r="G52" s="124" t="s">
        <v>378</v>
      </c>
      <c r="H52" s="125" t="s">
        <v>379</v>
      </c>
      <c r="I52" s="124" t="s">
        <v>380</v>
      </c>
      <c r="J52" s="126" t="s">
        <v>499</v>
      </c>
    </row>
    <row r="53" spans="4:10" x14ac:dyDescent="0.25">
      <c r="D53" s="124" t="s">
        <v>381</v>
      </c>
      <c r="E53" s="124" t="s">
        <v>288</v>
      </c>
      <c r="F53" s="125" t="s">
        <v>289</v>
      </c>
      <c r="G53" s="124" t="s">
        <v>274</v>
      </c>
      <c r="H53" s="125" t="s">
        <v>290</v>
      </c>
      <c r="I53" s="124" t="s">
        <v>291</v>
      </c>
      <c r="J53" s="126" t="s">
        <v>511</v>
      </c>
    </row>
    <row r="54" spans="4:10" x14ac:dyDescent="0.25">
      <c r="D54" s="124" t="s">
        <v>431</v>
      </c>
      <c r="E54" s="124" t="s">
        <v>431</v>
      </c>
      <c r="F54" s="125" t="s">
        <v>452</v>
      </c>
      <c r="G54" s="124" t="s">
        <v>451</v>
      </c>
      <c r="H54" s="125" t="s">
        <v>453</v>
      </c>
      <c r="I54" s="124" t="s">
        <v>431</v>
      </c>
      <c r="J54" s="126" t="s">
        <v>454</v>
      </c>
    </row>
    <row r="55" spans="4:10" x14ac:dyDescent="0.25">
      <c r="D55" s="124" t="s">
        <v>458</v>
      </c>
      <c r="E55" s="124" t="s">
        <v>458</v>
      </c>
      <c r="F55" s="125" t="s">
        <v>459</v>
      </c>
      <c r="G55" s="124" t="s">
        <v>455</v>
      </c>
      <c r="H55" s="125" t="s">
        <v>456</v>
      </c>
      <c r="I55" s="124" t="s">
        <v>458</v>
      </c>
      <c r="J55" s="126" t="s">
        <v>457</v>
      </c>
    </row>
    <row r="56" spans="4:10" x14ac:dyDescent="0.25">
      <c r="D56" s="124" t="s">
        <v>493</v>
      </c>
      <c r="E56" s="124" t="s">
        <v>496</v>
      </c>
      <c r="F56" s="125" t="s">
        <v>494</v>
      </c>
      <c r="G56" s="124" t="s">
        <v>495</v>
      </c>
      <c r="H56" s="125" t="s">
        <v>462</v>
      </c>
      <c r="I56" s="124" t="s">
        <v>460</v>
      </c>
      <c r="J56" s="126" t="s">
        <v>461</v>
      </c>
    </row>
    <row r="57" spans="4:10" x14ac:dyDescent="0.25">
      <c r="D57" s="124" t="s">
        <v>416</v>
      </c>
      <c r="E57" s="124" t="s">
        <v>416</v>
      </c>
      <c r="F57" s="125" t="s">
        <v>463</v>
      </c>
      <c r="G57" s="124" t="s">
        <v>466</v>
      </c>
      <c r="H57" s="125" t="s">
        <v>464</v>
      </c>
      <c r="I57" s="124" t="s">
        <v>416</v>
      </c>
      <c r="J57" s="126" t="s">
        <v>465</v>
      </c>
    </row>
    <row r="58" spans="4:10" x14ac:dyDescent="0.25">
      <c r="D58" s="124" t="s">
        <v>469</v>
      </c>
      <c r="E58" s="124" t="s">
        <v>469</v>
      </c>
      <c r="F58" s="125" t="s">
        <v>471</v>
      </c>
      <c r="G58" s="124"/>
      <c r="H58" s="125" t="s">
        <v>470</v>
      </c>
      <c r="I58" s="124" t="s">
        <v>468</v>
      </c>
      <c r="J58" s="126" t="s">
        <v>467</v>
      </c>
    </row>
    <row r="59" spans="4:10" x14ac:dyDescent="0.25">
      <c r="D59" s="124" t="s">
        <v>442</v>
      </c>
      <c r="E59" s="124" t="s">
        <v>442</v>
      </c>
      <c r="F59" s="125" t="s">
        <v>474</v>
      </c>
      <c r="G59" s="124"/>
      <c r="H59" s="125" t="s">
        <v>472</v>
      </c>
      <c r="I59" s="124" t="s">
        <v>450</v>
      </c>
      <c r="J59" s="126" t="s">
        <v>473</v>
      </c>
    </row>
    <row r="60" spans="4:10" x14ac:dyDescent="0.25">
      <c r="D60" s="124" t="s">
        <v>475</v>
      </c>
      <c r="E60" s="124" t="s">
        <v>479</v>
      </c>
      <c r="F60" s="125" t="s">
        <v>487</v>
      </c>
      <c r="G60" s="124" t="s">
        <v>227</v>
      </c>
      <c r="H60" s="125" t="s">
        <v>478</v>
      </c>
      <c r="I60" s="124" t="s">
        <v>477</v>
      </c>
      <c r="J60" s="126" t="s">
        <v>480</v>
      </c>
    </row>
    <row r="61" spans="4:10" x14ac:dyDescent="0.25">
      <c r="D61" s="124" t="s">
        <v>483</v>
      </c>
      <c r="E61" s="124" t="s">
        <v>483</v>
      </c>
      <c r="F61" s="125" t="s">
        <v>486</v>
      </c>
      <c r="G61" s="124" t="s">
        <v>259</v>
      </c>
      <c r="H61" s="125" t="s">
        <v>484</v>
      </c>
      <c r="I61" s="124" t="s">
        <v>483</v>
      </c>
      <c r="J61" s="126" t="s">
        <v>485</v>
      </c>
    </row>
    <row r="62" spans="4:10" x14ac:dyDescent="0.25">
      <c r="D62" s="124" t="s">
        <v>413</v>
      </c>
      <c r="E62" s="124" t="s">
        <v>490</v>
      </c>
      <c r="F62" s="125" t="s">
        <v>489</v>
      </c>
      <c r="G62" s="124"/>
      <c r="H62" s="125" t="s">
        <v>488</v>
      </c>
      <c r="I62" s="124" t="s">
        <v>491</v>
      </c>
      <c r="J62" s="126" t="s">
        <v>492</v>
      </c>
    </row>
    <row r="63" spans="4:10" x14ac:dyDescent="0.25">
      <c r="D63" s="124" t="s">
        <v>423</v>
      </c>
      <c r="E63" s="124" t="s">
        <v>423</v>
      </c>
      <c r="F63" s="125" t="s">
        <v>510</v>
      </c>
      <c r="G63" s="124" t="s">
        <v>259</v>
      </c>
      <c r="H63" s="125" t="s">
        <v>497</v>
      </c>
      <c r="I63" s="124" t="s">
        <v>482</v>
      </c>
      <c r="J63" s="126" t="s">
        <v>498</v>
      </c>
    </row>
    <row r="64" spans="4:10" x14ac:dyDescent="0.25">
      <c r="D64" s="124" t="s">
        <v>505</v>
      </c>
      <c r="E64" s="124" t="s">
        <v>512</v>
      </c>
      <c r="F64" s="125" t="s">
        <v>508</v>
      </c>
      <c r="G64" s="124" t="s">
        <v>509</v>
      </c>
      <c r="H64" s="125" t="s">
        <v>506</v>
      </c>
      <c r="I64" s="124" t="s">
        <v>505</v>
      </c>
      <c r="J64" s="126" t="s">
        <v>507</v>
      </c>
    </row>
    <row r="65" spans="1:10" x14ac:dyDescent="0.25">
      <c r="D65" s="125" t="s">
        <v>176</v>
      </c>
      <c r="E65" s="125" t="s">
        <v>176</v>
      </c>
      <c r="F65" s="125" t="s">
        <v>518</v>
      </c>
      <c r="G65" s="125" t="s">
        <v>519</v>
      </c>
      <c r="H65" s="125" t="s">
        <v>520</v>
      </c>
      <c r="I65" s="125" t="s">
        <v>176</v>
      </c>
      <c r="J65" s="186" t="s">
        <v>521</v>
      </c>
    </row>
    <row r="66" spans="1:10" x14ac:dyDescent="0.25">
      <c r="D66" s="124" t="s">
        <v>405</v>
      </c>
      <c r="E66" s="124" t="s">
        <v>405</v>
      </c>
      <c r="F66" s="125"/>
      <c r="G66" s="124" t="s">
        <v>524</v>
      </c>
      <c r="H66" s="125" t="s">
        <v>522</v>
      </c>
      <c r="I66" s="124" t="s">
        <v>405</v>
      </c>
      <c r="J66" s="186" t="s">
        <v>523</v>
      </c>
    </row>
    <row r="67" spans="1:10" s="14" customFormat="1" x14ac:dyDescent="0.25">
      <c r="A67" s="187" t="s">
        <v>525</v>
      </c>
      <c r="B67" s="188" t="s">
        <v>526</v>
      </c>
      <c r="C67" s="189">
        <v>46027.9617476852</v>
      </c>
      <c r="D67" s="188" t="s">
        <v>527</v>
      </c>
      <c r="E67" s="188" t="s">
        <v>49</v>
      </c>
      <c r="F67" s="188" t="s">
        <v>528</v>
      </c>
      <c r="G67" s="188" t="s">
        <v>529</v>
      </c>
      <c r="H67" s="188" t="s">
        <v>532</v>
      </c>
      <c r="I67" s="188" t="s">
        <v>530</v>
      </c>
      <c r="J67" s="190" t="s">
        <v>531</v>
      </c>
    </row>
    <row r="68" spans="1:10" x14ac:dyDescent="0.25">
      <c r="D68" s="124"/>
      <c r="E68" s="124"/>
      <c r="F68" s="125"/>
      <c r="G68" s="124"/>
      <c r="H68" s="125"/>
      <c r="I68" s="124"/>
      <c r="J68" s="126"/>
    </row>
    <row r="70" spans="1:10" x14ac:dyDescent="0.25">
      <c r="D70" s="121" t="s">
        <v>535</v>
      </c>
    </row>
    <row r="71" spans="1:10" x14ac:dyDescent="0.25">
      <c r="D71" s="121" t="s">
        <v>536</v>
      </c>
    </row>
    <row r="72" spans="1:10" x14ac:dyDescent="0.25">
      <c r="D72" s="121" t="s">
        <v>537</v>
      </c>
    </row>
    <row r="73" spans="1:10" x14ac:dyDescent="0.25">
      <c r="D73" s="121" t="s">
        <v>538</v>
      </c>
    </row>
    <row r="74" spans="1:10" x14ac:dyDescent="0.25">
      <c r="D74" s="121" t="s">
        <v>539</v>
      </c>
    </row>
    <row r="75" spans="1:10" x14ac:dyDescent="0.25">
      <c r="D75" s="121" t="s">
        <v>540</v>
      </c>
    </row>
  </sheetData>
  <dataValidations xWindow="1021" yWindow="474" count="8">
    <dataValidation showInputMessage="1" showErrorMessage="1" error=" " promptTitle="בדיקת מידע (נדרש)" prompt="‏‏רשומת איש קשר ראשי זו חייבת להיות קיימת כבר ב- Microsoft Dynamics 365 או בקובץ מקור זה." sqref="E3:E54 E56:E58 E60:E1048576" xr:uid="{F6FC31DA-B1EE-4A9D-96AE-3FFD31344FFC}"/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E59 E55 D3:D1048576" xr:uid="{0D5F6E1F-E548-48CA-BBA4-FC5792C4266E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100 תווים." promptTitle="טקסט" prompt="אורך מרבי: 100 תווים." sqref="J3:J1048576" xr:uid="{1F81AD9F-F36A-4257-87C9-E260FD2F6DB5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255 תווים." promptTitle="טקסט" prompt="אורך מרבי: 255 תווים." sqref="I3:I1048576" xr:uid="{328ECFDE-7C7D-435C-82AE-DAB38349FFF2}">
      <formula1>255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255 תווים." promptTitle="טקסט (נדרש)" prompt="אורך מרבי: 255 תווים." sqref="H3:H1048576" xr:uid="{E6D5AB16-7BD1-42F7-BEE8-E3AFD48136E3}">
      <formula1>255</formula1>
    </dataValidation>
    <dataValidation showInputMessage="1" showErrorMessage="1" error=" " promptTitle="בדיקת מידע (נדרש)" prompt="‏‏רשומת יישוב זו חייבת להיות קיימת כבר ב- Microsoft Dynamics 365 או בקובץ מקור זה." sqref="G3:G1048576" xr:uid="{16632B60-DB8A-4F45-8425-0CEBD5F01B35}"/>
    <dataValidation type="textLength" operator="lessThanOrEqual" showInputMessage="1" showErrorMessage="1" errorTitle="‏‏אירעה חריגה מהאורך" error="‏‏האורך של ערך זה חייב להיות קטן או שווה ל- 50 תווים." promptTitle="טקסט (נדרש)" prompt="אורך מרבי: 50 תווים." sqref="F3:F1048576" xr:uid="{41C94B1A-BED7-4F2F-82F4-4C072D99CB35}">
      <formula1>50</formula1>
    </dataValidation>
    <dataValidation type="date" operator="greaterThanOrEqual" allowBlank="1" showInputMessage="1" showErrorMessage="1" errorTitle="‏‏תאריך לא חוקי" error="(אל תשנה) Modified On חייב להיות בתבנית התאריך והשעה הנכונה." promptTitle="תאריך ושעה" prompt=" " sqref="C2:C1048576" xr:uid="{373E2116-A5A1-4C5C-9CFD-AFBF98093F93}">
      <formula1>1</formula1>
    </dataValidation>
  </dataValidations>
  <hyperlinks>
    <hyperlink ref="J65" r:id="rId1" xr:uid="{FDB3CEB1-4A4E-49EF-AC8C-617F1CB8F490}"/>
    <hyperlink ref="J66" r:id="rId2" xr:uid="{CE2965B4-971B-4E82-B471-41525B3CBF6E}"/>
    <hyperlink ref="K26" r:id="rId3" display="mailto:gal@frescofarm.co.il" xr:uid="{2212EC3D-C436-4809-B52C-96A49FFA9237}"/>
    <hyperlink ref="K12" r:id="rId4" display="mailto:kerem@elrom.biz" xr:uid="{1F91CDAA-31DC-400B-87F4-3969A058BE7D}"/>
    <hyperlink ref="J42" r:id="rId5" xr:uid="{46B89ACE-650E-4FFD-963A-7CED846E1FBD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0E49CE-353E-46B4-B605-57D4CADCC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436FF1-39D0-488C-B79E-A436C6088CF4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customXml/itemProps3.xml><?xml version="1.0" encoding="utf-8"?>
<ds:datastoreItem xmlns:ds="http://schemas.openxmlformats.org/officeDocument/2006/customXml" ds:itemID="{78E485BF-6637-46B4-9514-3DB8632F78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מרכז חשבוניות ינואר 2026</vt:lpstr>
      <vt:lpstr>חצבה</vt:lpstr>
      <vt:lpstr>גולן</vt:lpstr>
      <vt:lpstr>תבור</vt:lpstr>
      <vt:lpstr>ניצנים</vt:lpstr>
      <vt:lpstr>אשכול</vt:lpstr>
      <vt:lpstr>ניצנה</vt:lpstr>
      <vt:lpstr>גליל עליון</vt:lpstr>
      <vt:lpstr>פרטי חקלאים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טלי  אוחיון</dc:creator>
  <cp:keywords/>
  <dc:description/>
  <cp:lastModifiedBy>דרור נדל</cp:lastModifiedBy>
  <cp:revision/>
  <cp:lastPrinted>2026-02-11T07:31:26Z</cp:lastPrinted>
  <dcterms:created xsi:type="dcterms:W3CDTF">2025-07-01T06:53:12Z</dcterms:created>
  <dcterms:modified xsi:type="dcterms:W3CDTF">2026-04-20T08:33:38Z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