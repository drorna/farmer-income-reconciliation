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ashomer.sharepoint.com/sites/ksafim/Shared Documents/General/כספים - תכנון ובקרה/אדם ואדמה/2026/בקרות חודשיות/הכנסות מחקלאים/ניתוח פערים/נתונים מרוכזים/"/>
    </mc:Choice>
  </mc:AlternateContent>
  <xr:revisionPtr revIDLastSave="31" documentId="11_3499F1C500E9631879D7A91C0713A5E45D0475F7" xr6:coauthVersionLast="47" xr6:coauthVersionMax="47" xr10:uidLastSave="{AFD39386-B90B-4995-B051-8E39C2AF4062}"/>
  <bookViews>
    <workbookView xWindow="-108" yWindow="-108" windowWidth="23256" windowHeight="12456" activeTab="1" xr2:uid="{00000000-000D-0000-FFFF-FFFF00000000}"/>
  </bookViews>
  <sheets>
    <sheet name="אשכול" sheetId="1" r:id="rId1"/>
    <sheet name="גולן" sheetId="2" r:id="rId2"/>
    <sheet name="חצבה" sheetId="3" r:id="rId3"/>
    <sheet name="גליל עליון" sheetId="4" r:id="rId4"/>
    <sheet name="ניצנה" sheetId="5" r:id="rId5"/>
    <sheet name="ניצנים" sheetId="6" r:id="rId6"/>
    <sheet name="תבור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5" l="1"/>
  <c r="D9" i="5"/>
  <c r="C9" i="5"/>
  <c r="N6" i="5"/>
  <c r="N9" i="5" s="1"/>
  <c r="M6" i="5"/>
  <c r="L6" i="5"/>
  <c r="L9" i="5" s="1"/>
  <c r="K6" i="5"/>
  <c r="K9" i="5" s="1"/>
  <c r="J6" i="5"/>
  <c r="J9" i="5" s="1"/>
  <c r="I6" i="5"/>
  <c r="I9" i="5" s="1"/>
  <c r="H6" i="5"/>
  <c r="H9" i="5" s="1"/>
  <c r="G6" i="5"/>
  <c r="G9" i="5" s="1"/>
  <c r="F6" i="5"/>
  <c r="F9" i="5" s="1"/>
  <c r="E6" i="5"/>
  <c r="E9" i="5" s="1"/>
  <c r="D6" i="5"/>
  <c r="C6" i="5"/>
  <c r="N9" i="7" l="1"/>
  <c r="I9" i="7"/>
  <c r="H9" i="7"/>
  <c r="G9" i="7"/>
  <c r="F9" i="7"/>
  <c r="E9" i="7"/>
  <c r="D9" i="7"/>
  <c r="C9" i="7"/>
  <c r="N6" i="7"/>
  <c r="M6" i="7"/>
  <c r="M9" i="7" s="1"/>
  <c r="L6" i="7"/>
  <c r="L9" i="7" s="1"/>
  <c r="K6" i="7"/>
  <c r="K9" i="7" s="1"/>
  <c r="J6" i="7"/>
  <c r="J9" i="7" s="1"/>
  <c r="I6" i="7"/>
  <c r="H6" i="7"/>
  <c r="G6" i="7"/>
  <c r="F6" i="7"/>
  <c r="E6" i="7"/>
  <c r="D6" i="7"/>
  <c r="C6" i="7"/>
  <c r="N9" i="6" l="1"/>
  <c r="M9" i="6"/>
  <c r="L9" i="6"/>
  <c r="G9" i="6"/>
  <c r="F9" i="6"/>
  <c r="E9" i="6"/>
  <c r="D9" i="6"/>
  <c r="C9" i="6"/>
  <c r="N6" i="6"/>
  <c r="M6" i="6"/>
  <c r="L6" i="6"/>
  <c r="K6" i="6"/>
  <c r="K9" i="6" s="1"/>
  <c r="J6" i="6"/>
  <c r="J9" i="6" s="1"/>
  <c r="I6" i="6"/>
  <c r="I9" i="6" s="1"/>
  <c r="H6" i="6"/>
  <c r="H9" i="6" s="1"/>
  <c r="G6" i="6"/>
  <c r="F6" i="6"/>
  <c r="E6" i="6"/>
  <c r="D6" i="6"/>
  <c r="C6" i="6"/>
  <c r="N9" i="4" l="1"/>
  <c r="M9" i="4"/>
  <c r="H9" i="4"/>
  <c r="G9" i="4"/>
  <c r="F9" i="4"/>
  <c r="E9" i="4"/>
  <c r="D9" i="4"/>
  <c r="C9" i="4"/>
  <c r="N6" i="4"/>
  <c r="M6" i="4"/>
  <c r="L6" i="4"/>
  <c r="L9" i="4" s="1"/>
  <c r="K6" i="4"/>
  <c r="K9" i="4" s="1"/>
  <c r="J6" i="4"/>
  <c r="J9" i="4" s="1"/>
  <c r="I6" i="4"/>
  <c r="I9" i="4" s="1"/>
  <c r="H6" i="4"/>
  <c r="G6" i="4"/>
  <c r="F6" i="4"/>
  <c r="E6" i="4"/>
  <c r="D6" i="4"/>
  <c r="C6" i="4"/>
  <c r="N9" i="3" l="1"/>
  <c r="I9" i="3"/>
  <c r="H9" i="3"/>
  <c r="G9" i="3"/>
  <c r="F9" i="3"/>
  <c r="E9" i="3"/>
  <c r="D9" i="3"/>
  <c r="C9" i="3"/>
  <c r="N6" i="3"/>
  <c r="M6" i="3"/>
  <c r="M9" i="3" s="1"/>
  <c r="L6" i="3"/>
  <c r="L9" i="3" s="1"/>
  <c r="K6" i="3"/>
  <c r="K9" i="3" s="1"/>
  <c r="J6" i="3"/>
  <c r="J9" i="3" s="1"/>
  <c r="I6" i="3"/>
  <c r="H6" i="3"/>
  <c r="G6" i="3"/>
  <c r="F6" i="3"/>
  <c r="E6" i="3"/>
  <c r="D6" i="3"/>
  <c r="C6" i="3"/>
  <c r="D6" i="2" l="1"/>
  <c r="D9" i="2" s="1"/>
  <c r="G6" i="2"/>
  <c r="G9" i="2" s="1"/>
  <c r="H6" i="2"/>
  <c r="H9" i="2" s="1"/>
  <c r="J6" i="2"/>
  <c r="J9" i="2" s="1"/>
  <c r="N6" i="2"/>
  <c r="N9" i="2" s="1"/>
  <c r="M6" i="2"/>
  <c r="M9" i="2" s="1"/>
  <c r="L6" i="2"/>
  <c r="L9" i="2" s="1"/>
  <c r="K6" i="2"/>
  <c r="K9" i="2" s="1"/>
  <c r="I6" i="2"/>
  <c r="I9" i="2" s="1"/>
  <c r="C6" i="2"/>
  <c r="C9" i="2" s="1"/>
  <c r="F6" i="2"/>
  <c r="F9" i="2" s="1"/>
  <c r="E6" i="2"/>
  <c r="E9" i="2" s="1"/>
  <c r="G9" i="1" l="1"/>
  <c r="F9" i="1"/>
  <c r="E9" i="1"/>
  <c r="D9" i="1"/>
  <c r="C9" i="1"/>
  <c r="N6" i="1"/>
  <c r="N9" i="1" s="1"/>
  <c r="M6" i="1"/>
  <c r="M9" i="1" s="1"/>
  <c r="L6" i="1"/>
  <c r="L9" i="1" s="1"/>
  <c r="K6" i="1"/>
  <c r="K9" i="1" s="1"/>
  <c r="J6" i="1"/>
  <c r="J9" i="1" s="1"/>
  <c r="I6" i="1"/>
  <c r="I9" i="1" s="1"/>
  <c r="H6" i="1"/>
  <c r="H9" i="1" s="1"/>
  <c r="G6" i="1"/>
  <c r="F6" i="1"/>
  <c r="E6" i="1"/>
  <c r="D6" i="1"/>
  <c r="C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tc={FF062EE9-DD12-4FFF-B1B3-23011A45899B}</author>
    <author>tc={7A1E099B-A1FC-4709-903A-2C3C18CFC070}</author>
    <author>tc={4E608360-7E2A-41A2-B3B8-69B582AFAF5E}</author>
    <author>tc={616DD72C-2DEB-4AFB-8BA8-2930E57FA8E5}</author>
    <author>tc={4E02DCDF-49B1-41F3-A296-22672F6D61C3}</author>
    <author>tc={D00EB135-C7B0-494E-8FDB-F17B82073618}</author>
    <author>tc={0400671D-59BF-416A-98A2-A4633B897A6C}</author>
    <author>tc={26CDB54F-E62F-42CC-8880-DDA1D4384D1D}</author>
  </authors>
  <commentList>
    <comment ref="C2" authorId="0" shapeId="0" xr:uid="{FF062EE9-DD12-4FFF-B1B3-23011A45899B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17 ימים בגאנט, חצי יום על בגרויות חורף ועוד יומיים וחצי על ימי גשם</t>
      </text>
    </comment>
    <comment ref="D2" authorId="1" shapeId="0" xr:uid="{7A1E099B-A1FC-4709-903A-2C3C18CFC070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16 ימים בגאנט, הורדתי יומיים על ימי גשם</t>
      </text>
    </comment>
    <comment ref="F2" authorId="2" shapeId="0" xr:uid="{4E608360-7E2A-41A2-B3B8-69B582AFAF5E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9 בגאנט, הורדתי אחד על מסע ישראלי וימי מתכונות</t>
      </text>
    </comment>
    <comment ref="G2" authorId="3" shapeId="0" xr:uid="{616DD72C-2DEB-4AFB-8BA8-2930E57FA8E5}">
      <text>
        <t xml:space="preserve"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12 בגאנט, 2 ירדו על מתכונות ובגרויות
</t>
      </text>
    </comment>
    <comment ref="H2" authorId="4" shapeId="0" xr:uid="{4E02DCDF-49B1-41F3-A296-22672F6D61C3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12 בגאנט, אחד הורדתי על בגרויות ומסיבת סיום</t>
      </text>
    </comment>
    <comment ref="L2" authorId="5" shapeId="0" xr:uid="{D00EB135-C7B0-494E-8FDB-F17B82073618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16 ימים אפשריים, הורדתי 2 על טיול/ סדנת שדאות</t>
      </text>
    </comment>
    <comment ref="M2" authorId="6" shapeId="0" xr:uid="{0400671D-59BF-416A-98A2-A4633B897A6C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17 בגאנט, שניים ירדו על טיול מחזורי</t>
      </text>
    </comment>
    <comment ref="N2" authorId="7" shapeId="0" xr:uid="{26CDB54F-E62F-42CC-8880-DDA1D4384D1D}">
      <text>
        <t>[הערה משורשרת]
גירסת Excel שברשותך מאפשרת לך לקרוא הערה משורשרת זו; עם זאת, כל שינויי העריכה שיתבצעו בה יוסרו אם הקובץ ייפתח בגירסה חדשה יותר של Excel. למידע נוסף: https://go.microsoft.com/fwlink/?linkid=870924
הערה:
    15 בגאנט, אחד הורדתי על יום גשם</t>
      </text>
    </comment>
  </commentList>
</comments>
</file>

<file path=xl/sharedStrings.xml><?xml version="1.0" encoding="utf-8"?>
<sst xmlns="http://schemas.openxmlformats.org/spreadsheetml/2006/main" count="77" uniqueCount="11">
  <si>
    <t>תחום</t>
  </si>
  <si>
    <t>פרמטר</t>
  </si>
  <si>
    <t>עבודה חקלאית</t>
  </si>
  <si>
    <t>ימי עבודה</t>
  </si>
  <si>
    <t>מספר תלמידים</t>
  </si>
  <si>
    <t>אחוז חניכים עובדים ביום</t>
  </si>
  <si>
    <t>תוספת אנשי צוות עובדים</t>
  </si>
  <si>
    <t xml:space="preserve">סה"כ עובדים ביום </t>
  </si>
  <si>
    <t>שעות עבודה ליום</t>
  </si>
  <si>
    <t>הכנסה לשעה מחקלאי (₪)</t>
  </si>
  <si>
    <t>סה"כ הכנסה מחקלאי (₪)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</si>
</sst>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" fontId="1" fillId="2" borderId="1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 readingOrder="1"/>
    </xf>
    <xf numFmtId="9" fontId="4" fillId="4" borderId="1" xfId="0" applyNumberFormat="1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17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 readingOrder="1"/>
    </xf>
    <xf numFmtId="3" fontId="3" fillId="6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l turjeman" id="{5B3D170B-AF91-4F80-8979-42EB2064A27C}" userId="ec6009fb8e3b068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9-27T18:23:31.81" personId="{5B3D170B-AF91-4F80-8979-42EB2064A27C}" id="{FF062EE9-DD12-4FFF-B1B3-23011A45899B}">
    <text>17 ימים בגאנט, חצי יום על בגרויות חורף ועוד יומיים וחצי על ימי גשם</text>
  </threadedComment>
  <threadedComment ref="D2" dT="2025-09-27T18:24:27.62" personId="{5B3D170B-AF91-4F80-8979-42EB2064A27C}" id="{7A1E099B-A1FC-4709-903A-2C3C18CFC070}">
    <text>16 ימים בגאנט, הורדתי יומיים על ימי גשם</text>
  </threadedComment>
  <threadedComment ref="F2" dT="2025-09-27T18:26:34.67" personId="{5B3D170B-AF91-4F80-8979-42EB2064A27C}" id="{4E608360-7E2A-41A2-B3B8-69B582AFAF5E}">
    <text>9 בגאנט, הורדתי אחד על מסע ישראלי וימי מתכונות</text>
  </threadedComment>
  <threadedComment ref="G2" dT="2025-09-27T18:28:02.05" personId="{5B3D170B-AF91-4F80-8979-42EB2064A27C}" id="{616DD72C-2DEB-4AFB-8BA8-2930E57FA8E5}">
    <text xml:space="preserve">12 בגאנט, 2 ירדו על מתכונות ובגרויות
</text>
  </threadedComment>
  <threadedComment ref="H2" dT="2025-09-27T18:28:47.34" personId="{5B3D170B-AF91-4F80-8979-42EB2064A27C}" id="{4E02DCDF-49B1-41F3-A296-22672F6D61C3}">
    <text>12 בגאנט, אחד הורדתי על בגרויות ומסיבת סיום</text>
  </threadedComment>
  <threadedComment ref="L2" dT="2025-09-27T18:38:26.92" personId="{5B3D170B-AF91-4F80-8979-42EB2064A27C}" id="{D00EB135-C7B0-494E-8FDB-F17B82073618}">
    <text>16 ימים אפשריים, הורדתי 2 על טיול/ סדנת שדאות</text>
  </threadedComment>
  <threadedComment ref="M2" dT="2025-09-27T18:38:59.81" personId="{5B3D170B-AF91-4F80-8979-42EB2064A27C}" id="{0400671D-59BF-416A-98A2-A4633B897A6C}">
    <text>17 בגאנט, שניים ירדו על טיול מחזורי</text>
  </threadedComment>
  <threadedComment ref="N2" dT="2025-09-27T18:39:59.95" personId="{5B3D170B-AF91-4F80-8979-42EB2064A27C}" id="{26CDB54F-E62F-42CC-8880-DDA1D4384D1D}">
    <text>15 בגאנט, אחד הורדתי על יום גשם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rightToLeft="1" workbookViewId="0">
      <selection sqref="A1:N9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2">
        <v>46023</v>
      </c>
      <c r="D1" s="2">
        <v>46054</v>
      </c>
      <c r="E1" s="2">
        <v>46082</v>
      </c>
      <c r="F1" s="2">
        <v>46113</v>
      </c>
      <c r="G1" s="2">
        <v>46143</v>
      </c>
      <c r="H1" s="2">
        <v>46174</v>
      </c>
      <c r="I1" s="2">
        <v>46204</v>
      </c>
      <c r="J1" s="2">
        <v>46235</v>
      </c>
      <c r="K1" s="2">
        <v>46266</v>
      </c>
      <c r="L1" s="2">
        <v>46296</v>
      </c>
      <c r="M1" s="2">
        <v>46327</v>
      </c>
      <c r="N1" s="2">
        <v>46357</v>
      </c>
    </row>
    <row r="2" spans="1:14" x14ac:dyDescent="0.25">
      <c r="A2" s="12" t="s">
        <v>2</v>
      </c>
      <c r="B2" s="3" t="s">
        <v>3</v>
      </c>
      <c r="C2" s="4">
        <v>17</v>
      </c>
      <c r="D2" s="4">
        <v>14</v>
      </c>
      <c r="E2" s="4">
        <v>8</v>
      </c>
      <c r="F2" s="4">
        <v>9</v>
      </c>
      <c r="G2" s="4">
        <v>17</v>
      </c>
      <c r="H2" s="4">
        <v>18</v>
      </c>
      <c r="I2" s="4">
        <v>5</v>
      </c>
      <c r="J2" s="4">
        <v>0</v>
      </c>
      <c r="K2" s="4">
        <v>12</v>
      </c>
      <c r="L2" s="4">
        <v>16</v>
      </c>
      <c r="M2" s="4">
        <v>17</v>
      </c>
      <c r="N2" s="4">
        <v>12</v>
      </c>
    </row>
    <row r="3" spans="1:14" ht="26.4" x14ac:dyDescent="0.25">
      <c r="A3" s="12"/>
      <c r="B3" s="3" t="s">
        <v>4</v>
      </c>
      <c r="C3" s="4">
        <v>50</v>
      </c>
      <c r="D3" s="4">
        <v>50</v>
      </c>
      <c r="E3" s="4">
        <v>50</v>
      </c>
      <c r="F3" s="4">
        <v>50</v>
      </c>
      <c r="G3" s="4">
        <v>50</v>
      </c>
      <c r="H3" s="4">
        <v>50</v>
      </c>
      <c r="I3" s="4">
        <v>50</v>
      </c>
      <c r="J3" s="4">
        <v>50</v>
      </c>
      <c r="K3" s="4">
        <v>64</v>
      </c>
      <c r="L3" s="4">
        <v>64</v>
      </c>
      <c r="M3" s="4">
        <v>64</v>
      </c>
      <c r="N3" s="4">
        <v>64</v>
      </c>
    </row>
    <row r="4" spans="1:14" ht="39.6" x14ac:dyDescent="0.25">
      <c r="A4" s="12"/>
      <c r="B4" s="3" t="s">
        <v>5</v>
      </c>
      <c r="C4" s="5">
        <v>0.65</v>
      </c>
      <c r="D4" s="5">
        <v>0.65</v>
      </c>
      <c r="E4" s="5">
        <v>0.65</v>
      </c>
      <c r="F4" s="5">
        <v>0.65</v>
      </c>
      <c r="G4" s="5">
        <v>0.65</v>
      </c>
      <c r="H4" s="5">
        <v>0.65</v>
      </c>
      <c r="I4" s="5">
        <v>0.65</v>
      </c>
      <c r="J4" s="5">
        <v>0.65</v>
      </c>
      <c r="K4" s="5">
        <v>0.65</v>
      </c>
      <c r="L4" s="5">
        <v>0.65</v>
      </c>
      <c r="M4" s="5">
        <v>0.65</v>
      </c>
      <c r="N4" s="5">
        <v>0.65</v>
      </c>
    </row>
    <row r="5" spans="1:14" ht="39.6" x14ac:dyDescent="0.25">
      <c r="A5" s="12"/>
      <c r="B5" s="3" t="s">
        <v>6</v>
      </c>
      <c r="C5" s="4">
        <v>8</v>
      </c>
      <c r="D5" s="4">
        <v>8</v>
      </c>
      <c r="E5" s="4">
        <v>8</v>
      </c>
      <c r="F5" s="4">
        <v>8</v>
      </c>
      <c r="G5" s="4">
        <v>8</v>
      </c>
      <c r="H5" s="4">
        <v>8</v>
      </c>
      <c r="I5" s="4">
        <v>8</v>
      </c>
      <c r="J5" s="4">
        <v>8</v>
      </c>
      <c r="K5" s="4">
        <v>8</v>
      </c>
      <c r="L5" s="4">
        <v>8</v>
      </c>
      <c r="M5" s="4">
        <v>8</v>
      </c>
      <c r="N5" s="4">
        <v>8</v>
      </c>
    </row>
    <row r="6" spans="1:14" ht="26.4" x14ac:dyDescent="0.25">
      <c r="A6" s="12"/>
      <c r="B6" s="3" t="s">
        <v>7</v>
      </c>
      <c r="C6" s="6">
        <f>C3*C4+C5</f>
        <v>40.5</v>
      </c>
      <c r="D6" s="6">
        <f t="shared" ref="D6:N6" si="0">D3*D4+D5</f>
        <v>40.5</v>
      </c>
      <c r="E6" s="6">
        <f t="shared" si="0"/>
        <v>40.5</v>
      </c>
      <c r="F6" s="6">
        <f t="shared" si="0"/>
        <v>40.5</v>
      </c>
      <c r="G6" s="6">
        <f t="shared" si="0"/>
        <v>40.5</v>
      </c>
      <c r="H6" s="6">
        <f t="shared" si="0"/>
        <v>40.5</v>
      </c>
      <c r="I6" s="6">
        <f t="shared" si="0"/>
        <v>40.5</v>
      </c>
      <c r="J6" s="6">
        <f t="shared" si="0"/>
        <v>40.5</v>
      </c>
      <c r="K6" s="6">
        <f t="shared" si="0"/>
        <v>49.6</v>
      </c>
      <c r="L6" s="6">
        <f t="shared" si="0"/>
        <v>49.6</v>
      </c>
      <c r="M6" s="6">
        <f t="shared" si="0"/>
        <v>49.6</v>
      </c>
      <c r="N6" s="6">
        <f t="shared" si="0"/>
        <v>49.6</v>
      </c>
    </row>
    <row r="7" spans="1:14" ht="26.4" x14ac:dyDescent="0.25">
      <c r="A7" s="12"/>
      <c r="B7" s="3" t="s">
        <v>8</v>
      </c>
      <c r="C7" s="4">
        <v>5</v>
      </c>
      <c r="D7" s="4">
        <v>5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5</v>
      </c>
      <c r="L7" s="4">
        <v>5</v>
      </c>
      <c r="M7" s="4">
        <v>5</v>
      </c>
      <c r="N7" s="4">
        <v>5</v>
      </c>
    </row>
    <row r="8" spans="1:14" ht="39.6" x14ac:dyDescent="0.25">
      <c r="A8" s="12"/>
      <c r="B8" s="3" t="s">
        <v>9</v>
      </c>
      <c r="C8" s="4">
        <v>30</v>
      </c>
      <c r="D8" s="4">
        <v>30</v>
      </c>
      <c r="E8" s="4">
        <v>32</v>
      </c>
      <c r="F8" s="4">
        <v>32</v>
      </c>
      <c r="G8" s="4">
        <v>32</v>
      </c>
      <c r="H8" s="4">
        <v>32</v>
      </c>
      <c r="I8" s="4">
        <v>32</v>
      </c>
      <c r="J8" s="4">
        <v>32</v>
      </c>
      <c r="K8" s="4">
        <v>33</v>
      </c>
      <c r="L8" s="4">
        <v>33</v>
      </c>
      <c r="M8" s="4">
        <v>33</v>
      </c>
      <c r="N8" s="4">
        <v>33</v>
      </c>
    </row>
    <row r="9" spans="1:14" ht="39.6" x14ac:dyDescent="0.25">
      <c r="A9" s="12"/>
      <c r="B9" s="7" t="s">
        <v>10</v>
      </c>
      <c r="C9" s="8">
        <f>C2*C6*C7*C8</f>
        <v>103275</v>
      </c>
      <c r="D9" s="8">
        <f t="shared" ref="D9:N9" si="1">D2*D6*D7*D8</f>
        <v>85050</v>
      </c>
      <c r="E9" s="8">
        <f t="shared" si="1"/>
        <v>51840</v>
      </c>
      <c r="F9" s="8">
        <f t="shared" si="1"/>
        <v>58320</v>
      </c>
      <c r="G9" s="8">
        <f t="shared" si="1"/>
        <v>110160</v>
      </c>
      <c r="H9" s="8">
        <f t="shared" si="1"/>
        <v>116640</v>
      </c>
      <c r="I9" s="8">
        <f t="shared" si="1"/>
        <v>32400</v>
      </c>
      <c r="J9" s="8">
        <f t="shared" si="1"/>
        <v>0</v>
      </c>
      <c r="K9" s="8">
        <f t="shared" si="1"/>
        <v>98208</v>
      </c>
      <c r="L9" s="8">
        <f t="shared" si="1"/>
        <v>130944</v>
      </c>
      <c r="M9" s="8">
        <f t="shared" si="1"/>
        <v>139128</v>
      </c>
      <c r="N9" s="8">
        <f t="shared" si="1"/>
        <v>98208</v>
      </c>
    </row>
  </sheetData>
  <mergeCells count="1">
    <mergeCell ref="A2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4726-CC59-43A4-BC1B-20D7ED80052E}">
  <dimension ref="A1:N9"/>
  <sheetViews>
    <sheetView rightToLeft="1" tabSelected="1" workbookViewId="0">
      <selection activeCell="C14" sqref="C14"/>
    </sheetView>
  </sheetViews>
  <sheetFormatPr defaultRowHeight="13.8" x14ac:dyDescent="0.25"/>
  <cols>
    <col min="2" max="2" width="18.296875" bestFit="1" customWidth="1"/>
  </cols>
  <sheetData>
    <row r="1" spans="1:14" ht="15.6" x14ac:dyDescent="0.25">
      <c r="A1" s="1" t="s">
        <v>0</v>
      </c>
      <c r="B1" s="1" t="s">
        <v>1</v>
      </c>
      <c r="C1" s="9">
        <v>46023</v>
      </c>
      <c r="D1" s="9">
        <v>46054</v>
      </c>
      <c r="E1" s="9">
        <v>46082</v>
      </c>
      <c r="F1" s="9">
        <v>46113</v>
      </c>
      <c r="G1" s="9">
        <v>46143</v>
      </c>
      <c r="H1" s="9">
        <v>46174</v>
      </c>
      <c r="I1" s="9">
        <v>46204</v>
      </c>
      <c r="J1" s="9">
        <v>46235</v>
      </c>
      <c r="K1" s="9">
        <v>46266</v>
      </c>
      <c r="L1" s="9">
        <v>46296</v>
      </c>
      <c r="M1" s="9">
        <v>46327</v>
      </c>
      <c r="N1" s="9">
        <v>46357</v>
      </c>
    </row>
    <row r="2" spans="1:14" ht="13.8" customHeight="1" x14ac:dyDescent="0.25">
      <c r="A2" s="13" t="s">
        <v>2</v>
      </c>
      <c r="B2" s="3" t="s">
        <v>3</v>
      </c>
      <c r="C2" s="4">
        <v>13</v>
      </c>
      <c r="D2" s="4">
        <v>12</v>
      </c>
      <c r="E2" s="4">
        <v>10</v>
      </c>
      <c r="F2" s="4">
        <v>4</v>
      </c>
      <c r="G2" s="4">
        <v>12</v>
      </c>
      <c r="H2" s="4">
        <v>18</v>
      </c>
      <c r="I2" s="4">
        <v>5</v>
      </c>
      <c r="J2" s="4">
        <v>0</v>
      </c>
      <c r="K2" s="4">
        <v>8</v>
      </c>
      <c r="L2" s="4">
        <v>13</v>
      </c>
      <c r="M2" s="4">
        <v>13</v>
      </c>
      <c r="N2" s="4">
        <v>12</v>
      </c>
    </row>
    <row r="3" spans="1:14" ht="13.8" customHeight="1" x14ac:dyDescent="0.25">
      <c r="A3" s="14"/>
      <c r="B3" s="3" t="s">
        <v>4</v>
      </c>
      <c r="C3" s="10">
        <v>57</v>
      </c>
      <c r="D3" s="10">
        <v>57</v>
      </c>
      <c r="E3" s="10">
        <v>57</v>
      </c>
      <c r="F3" s="10">
        <v>57</v>
      </c>
      <c r="G3" s="10">
        <v>57</v>
      </c>
      <c r="H3" s="10">
        <v>57</v>
      </c>
      <c r="I3" s="10">
        <v>57</v>
      </c>
      <c r="J3" s="10">
        <v>57</v>
      </c>
      <c r="K3" s="10">
        <v>67</v>
      </c>
      <c r="L3" s="10">
        <v>65</v>
      </c>
      <c r="M3" s="10">
        <v>63</v>
      </c>
      <c r="N3" s="10">
        <v>63</v>
      </c>
    </row>
    <row r="4" spans="1:14" ht="13.8" customHeight="1" x14ac:dyDescent="0.25">
      <c r="A4" s="14"/>
      <c r="B4" s="3" t="s">
        <v>5</v>
      </c>
      <c r="C4" s="5">
        <v>0.8</v>
      </c>
      <c r="D4" s="5">
        <v>0.8</v>
      </c>
      <c r="E4" s="5">
        <v>0.8</v>
      </c>
      <c r="F4" s="5">
        <v>0.8</v>
      </c>
      <c r="G4" s="5">
        <v>0.8</v>
      </c>
      <c r="H4" s="5">
        <v>0.8</v>
      </c>
      <c r="I4" s="5">
        <v>0.8</v>
      </c>
      <c r="J4" s="5">
        <v>0.8</v>
      </c>
      <c r="K4" s="5">
        <v>0.8</v>
      </c>
      <c r="L4" s="5">
        <v>0.8</v>
      </c>
      <c r="M4" s="5">
        <v>0.8</v>
      </c>
      <c r="N4" s="5">
        <v>0.8</v>
      </c>
    </row>
    <row r="5" spans="1:14" ht="13.8" customHeight="1" x14ac:dyDescent="0.25">
      <c r="A5" s="14"/>
      <c r="B5" s="3" t="s">
        <v>6</v>
      </c>
      <c r="C5" s="4">
        <v>6</v>
      </c>
      <c r="D5" s="4">
        <v>6</v>
      </c>
      <c r="E5" s="4">
        <v>6</v>
      </c>
      <c r="F5" s="4">
        <v>6</v>
      </c>
      <c r="G5" s="4">
        <v>6</v>
      </c>
      <c r="H5" s="4">
        <v>6</v>
      </c>
      <c r="I5" s="4">
        <v>6</v>
      </c>
      <c r="J5" s="4">
        <v>6</v>
      </c>
      <c r="K5" s="4">
        <v>6</v>
      </c>
      <c r="L5" s="4">
        <v>6</v>
      </c>
      <c r="M5" s="4">
        <v>6</v>
      </c>
      <c r="N5" s="4">
        <v>6</v>
      </c>
    </row>
    <row r="6" spans="1:14" ht="13.8" customHeight="1" x14ac:dyDescent="0.25">
      <c r="A6" s="14"/>
      <c r="B6" s="3" t="s">
        <v>7</v>
      </c>
      <c r="C6" s="6">
        <f>C3*C4+C5</f>
        <v>51.6</v>
      </c>
      <c r="D6" s="6">
        <f t="shared" ref="D6:N6" si="0">D3*D4+D5</f>
        <v>51.6</v>
      </c>
      <c r="E6" s="6">
        <f t="shared" si="0"/>
        <v>51.6</v>
      </c>
      <c r="F6" s="6">
        <f t="shared" si="0"/>
        <v>51.6</v>
      </c>
      <c r="G6" s="6">
        <f t="shared" si="0"/>
        <v>51.6</v>
      </c>
      <c r="H6" s="6">
        <f t="shared" si="0"/>
        <v>51.6</v>
      </c>
      <c r="I6" s="6">
        <f t="shared" si="0"/>
        <v>51.6</v>
      </c>
      <c r="J6" s="6">
        <f t="shared" si="0"/>
        <v>51.6</v>
      </c>
      <c r="K6" s="6">
        <f t="shared" si="0"/>
        <v>59.6</v>
      </c>
      <c r="L6" s="6">
        <f t="shared" si="0"/>
        <v>58</v>
      </c>
      <c r="M6" s="6">
        <f t="shared" si="0"/>
        <v>56.400000000000006</v>
      </c>
      <c r="N6" s="6">
        <f t="shared" si="0"/>
        <v>56.400000000000006</v>
      </c>
    </row>
    <row r="7" spans="1:14" ht="13.8" customHeight="1" x14ac:dyDescent="0.25">
      <c r="A7" s="14"/>
      <c r="B7" s="3" t="s">
        <v>8</v>
      </c>
      <c r="C7" s="4">
        <v>4.5</v>
      </c>
      <c r="D7" s="4">
        <v>4.5</v>
      </c>
      <c r="E7" s="4">
        <v>5</v>
      </c>
      <c r="F7" s="4">
        <v>5</v>
      </c>
      <c r="G7" s="4">
        <v>5.25</v>
      </c>
      <c r="H7" s="4">
        <v>5.25</v>
      </c>
      <c r="I7" s="4">
        <v>5.25</v>
      </c>
      <c r="J7" s="4">
        <v>5.25</v>
      </c>
      <c r="K7" s="4">
        <v>5.25</v>
      </c>
      <c r="L7" s="4">
        <v>5.25</v>
      </c>
      <c r="M7" s="4">
        <v>5</v>
      </c>
      <c r="N7" s="4">
        <v>4.75</v>
      </c>
    </row>
    <row r="8" spans="1:14" ht="13.8" customHeight="1" x14ac:dyDescent="0.25">
      <c r="A8" s="14"/>
      <c r="B8" s="3" t="s">
        <v>9</v>
      </c>
      <c r="C8" s="4">
        <v>39</v>
      </c>
      <c r="D8" s="4">
        <v>39</v>
      </c>
      <c r="E8" s="4">
        <v>39</v>
      </c>
      <c r="F8" s="4">
        <v>39</v>
      </c>
      <c r="G8" s="4">
        <v>39</v>
      </c>
      <c r="H8" s="4">
        <v>39</v>
      </c>
      <c r="I8" s="4">
        <v>39</v>
      </c>
      <c r="J8" s="4">
        <v>39</v>
      </c>
      <c r="K8" s="4">
        <v>39</v>
      </c>
      <c r="L8" s="4">
        <v>39</v>
      </c>
      <c r="M8" s="4">
        <v>39</v>
      </c>
      <c r="N8" s="4">
        <v>39</v>
      </c>
    </row>
    <row r="9" spans="1:14" ht="13.8" customHeight="1" x14ac:dyDescent="0.25">
      <c r="A9" s="15"/>
      <c r="B9" s="7" t="s">
        <v>10</v>
      </c>
      <c r="C9" s="8">
        <f>C2*C6*C7*C8</f>
        <v>117725.40000000001</v>
      </c>
      <c r="D9" s="8">
        <f t="shared" ref="D9:N9" si="1">D2*D6*D7*D8</f>
        <v>108669.6</v>
      </c>
      <c r="E9" s="8">
        <f t="shared" si="1"/>
        <v>100620</v>
      </c>
      <c r="F9" s="8">
        <f t="shared" si="1"/>
        <v>40248</v>
      </c>
      <c r="G9" s="8">
        <f t="shared" si="1"/>
        <v>126781.20000000001</v>
      </c>
      <c r="H9" s="8">
        <f t="shared" si="1"/>
        <v>190171.80000000002</v>
      </c>
      <c r="I9" s="8">
        <f t="shared" si="1"/>
        <v>52825.5</v>
      </c>
      <c r="J9" s="8">
        <f t="shared" si="1"/>
        <v>0</v>
      </c>
      <c r="K9" s="8">
        <f t="shared" si="1"/>
        <v>97624.800000000017</v>
      </c>
      <c r="L9" s="8">
        <f t="shared" si="1"/>
        <v>154381.5</v>
      </c>
      <c r="M9" s="8">
        <f t="shared" si="1"/>
        <v>142974</v>
      </c>
      <c r="N9" s="8">
        <f t="shared" si="1"/>
        <v>125377.20000000001</v>
      </c>
    </row>
  </sheetData>
  <mergeCells count="1">
    <mergeCell ref="A2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EE2F-7D2B-43EC-A3BF-5E8006384392}">
  <dimension ref="A1:N9"/>
  <sheetViews>
    <sheetView rightToLeft="1" workbookViewId="0">
      <selection sqref="A1:N9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12" t="s">
        <v>2</v>
      </c>
      <c r="B2" s="3" t="s">
        <v>3</v>
      </c>
      <c r="C2" s="4">
        <v>17</v>
      </c>
      <c r="D2" s="4">
        <v>16</v>
      </c>
      <c r="E2" s="4">
        <v>8</v>
      </c>
      <c r="F2" s="4">
        <v>9</v>
      </c>
      <c r="G2" s="4">
        <v>16</v>
      </c>
      <c r="H2" s="4">
        <v>18</v>
      </c>
      <c r="I2" s="4">
        <v>6</v>
      </c>
      <c r="J2" s="4">
        <v>0</v>
      </c>
      <c r="K2" s="4">
        <v>15</v>
      </c>
      <c r="L2" s="4">
        <v>8</v>
      </c>
      <c r="M2" s="4">
        <v>13</v>
      </c>
      <c r="N2" s="4">
        <v>15</v>
      </c>
    </row>
    <row r="3" spans="1:14" ht="26.4" x14ac:dyDescent="0.25">
      <c r="A3" s="12"/>
      <c r="B3" s="3" t="s">
        <v>4</v>
      </c>
      <c r="C3" s="11">
        <v>96</v>
      </c>
      <c r="D3" s="11">
        <v>96</v>
      </c>
      <c r="E3" s="11">
        <v>96</v>
      </c>
      <c r="F3" s="11">
        <v>96</v>
      </c>
      <c r="G3" s="11">
        <v>94</v>
      </c>
      <c r="H3" s="11">
        <v>92</v>
      </c>
      <c r="I3" s="11">
        <v>80</v>
      </c>
      <c r="J3" s="11">
        <v>105</v>
      </c>
      <c r="K3" s="11">
        <v>105</v>
      </c>
      <c r="L3" s="11">
        <v>105</v>
      </c>
      <c r="M3" s="11">
        <v>103</v>
      </c>
      <c r="N3" s="11">
        <v>103</v>
      </c>
    </row>
    <row r="4" spans="1:14" ht="39.6" x14ac:dyDescent="0.25">
      <c r="A4" s="12"/>
      <c r="B4" s="3" t="s">
        <v>5</v>
      </c>
      <c r="C4" s="5">
        <v>0.7</v>
      </c>
      <c r="D4" s="5">
        <v>0.7</v>
      </c>
      <c r="E4" s="5">
        <v>0.7</v>
      </c>
      <c r="F4" s="5">
        <v>0.7</v>
      </c>
      <c r="G4" s="5">
        <v>0.7</v>
      </c>
      <c r="H4" s="5">
        <v>0.7</v>
      </c>
      <c r="I4" s="5">
        <v>0.7</v>
      </c>
      <c r="J4" s="5">
        <v>0.7</v>
      </c>
      <c r="K4" s="5">
        <v>0.7</v>
      </c>
      <c r="L4" s="5">
        <v>0.7</v>
      </c>
      <c r="M4" s="5">
        <v>0.7</v>
      </c>
      <c r="N4" s="5">
        <v>0.7</v>
      </c>
    </row>
    <row r="5" spans="1:14" ht="39.6" x14ac:dyDescent="0.25">
      <c r="A5" s="12"/>
      <c r="B5" s="3" t="s">
        <v>6</v>
      </c>
      <c r="C5" s="4">
        <v>12</v>
      </c>
      <c r="D5" s="4">
        <v>12</v>
      </c>
      <c r="E5" s="4">
        <v>12</v>
      </c>
      <c r="F5" s="4">
        <v>12</v>
      </c>
      <c r="G5" s="4">
        <v>12</v>
      </c>
      <c r="H5" s="4">
        <v>12</v>
      </c>
      <c r="I5" s="4">
        <v>12</v>
      </c>
      <c r="J5" s="4">
        <v>12</v>
      </c>
      <c r="K5" s="4">
        <v>12</v>
      </c>
      <c r="L5" s="4">
        <v>12</v>
      </c>
      <c r="M5" s="4">
        <v>12</v>
      </c>
      <c r="N5" s="4">
        <v>12</v>
      </c>
    </row>
    <row r="6" spans="1:14" ht="26.4" x14ac:dyDescent="0.25">
      <c r="A6" s="12"/>
      <c r="B6" s="3" t="s">
        <v>7</v>
      </c>
      <c r="C6" s="6">
        <f>C3*C4+C5</f>
        <v>79.199999999999989</v>
      </c>
      <c r="D6" s="6">
        <f t="shared" ref="D6:N6" si="0">D3*D4+D5</f>
        <v>79.199999999999989</v>
      </c>
      <c r="E6" s="6">
        <f t="shared" si="0"/>
        <v>79.199999999999989</v>
      </c>
      <c r="F6" s="6">
        <f t="shared" si="0"/>
        <v>79.199999999999989</v>
      </c>
      <c r="G6" s="6">
        <f t="shared" si="0"/>
        <v>77.8</v>
      </c>
      <c r="H6" s="6">
        <f t="shared" si="0"/>
        <v>76.399999999999991</v>
      </c>
      <c r="I6" s="6">
        <f t="shared" si="0"/>
        <v>68</v>
      </c>
      <c r="J6" s="6">
        <f t="shared" si="0"/>
        <v>85.5</v>
      </c>
      <c r="K6" s="6">
        <f t="shared" si="0"/>
        <v>85.5</v>
      </c>
      <c r="L6" s="6">
        <f t="shared" si="0"/>
        <v>85.5</v>
      </c>
      <c r="M6" s="6">
        <f t="shared" si="0"/>
        <v>84.1</v>
      </c>
      <c r="N6" s="6">
        <f t="shared" si="0"/>
        <v>84.1</v>
      </c>
    </row>
    <row r="7" spans="1:14" ht="26.4" x14ac:dyDescent="0.25">
      <c r="A7" s="12"/>
      <c r="B7" s="3" t="s">
        <v>8</v>
      </c>
      <c r="C7" s="4">
        <v>5</v>
      </c>
      <c r="D7" s="4">
        <v>5</v>
      </c>
      <c r="E7" s="4">
        <v>5</v>
      </c>
      <c r="F7" s="4">
        <v>5</v>
      </c>
      <c r="G7" s="4">
        <v>5</v>
      </c>
      <c r="H7" s="4">
        <v>5</v>
      </c>
      <c r="I7" s="4">
        <v>5</v>
      </c>
      <c r="J7" s="4">
        <v>5</v>
      </c>
      <c r="K7" s="4">
        <v>5</v>
      </c>
      <c r="L7" s="4">
        <v>5</v>
      </c>
      <c r="M7" s="4">
        <v>5</v>
      </c>
      <c r="N7" s="4">
        <v>5</v>
      </c>
    </row>
    <row r="8" spans="1:14" ht="39.6" x14ac:dyDescent="0.25">
      <c r="A8" s="12"/>
      <c r="B8" s="3" t="s">
        <v>9</v>
      </c>
      <c r="C8" s="4">
        <v>35</v>
      </c>
      <c r="D8" s="4">
        <v>35</v>
      </c>
      <c r="E8" s="4">
        <v>35</v>
      </c>
      <c r="F8" s="4">
        <v>35</v>
      </c>
      <c r="G8" s="4">
        <v>35</v>
      </c>
      <c r="H8" s="4">
        <v>35</v>
      </c>
      <c r="I8" s="4">
        <v>35</v>
      </c>
      <c r="J8" s="4">
        <v>35</v>
      </c>
      <c r="K8" s="4">
        <v>35</v>
      </c>
      <c r="L8" s="4">
        <v>35</v>
      </c>
      <c r="M8" s="4">
        <v>35</v>
      </c>
      <c r="N8" s="4">
        <v>35</v>
      </c>
    </row>
    <row r="9" spans="1:14" ht="39.6" x14ac:dyDescent="0.25">
      <c r="A9" s="12"/>
      <c r="B9" s="7" t="s">
        <v>10</v>
      </c>
      <c r="C9" s="8">
        <f>C2*C6*C7*C8</f>
        <v>235619.99999999997</v>
      </c>
      <c r="D9" s="8">
        <f t="shared" ref="D9:N9" si="1">D2*D6*D7*D8</f>
        <v>221759.99999999997</v>
      </c>
      <c r="E9" s="8">
        <f t="shared" si="1"/>
        <v>110879.99999999999</v>
      </c>
      <c r="F9" s="8">
        <f t="shared" si="1"/>
        <v>124740</v>
      </c>
      <c r="G9" s="8">
        <f t="shared" si="1"/>
        <v>217840</v>
      </c>
      <c r="H9" s="8">
        <f t="shared" si="1"/>
        <v>240659.99999999997</v>
      </c>
      <c r="I9" s="8">
        <f t="shared" si="1"/>
        <v>71400</v>
      </c>
      <c r="J9" s="8">
        <f t="shared" si="1"/>
        <v>0</v>
      </c>
      <c r="K9" s="8">
        <f t="shared" si="1"/>
        <v>224437.5</v>
      </c>
      <c r="L9" s="8">
        <f t="shared" si="1"/>
        <v>119700</v>
      </c>
      <c r="M9" s="8">
        <f t="shared" si="1"/>
        <v>191327.5</v>
      </c>
      <c r="N9" s="8">
        <f t="shared" si="1"/>
        <v>220762.5</v>
      </c>
    </row>
  </sheetData>
  <mergeCells count="1">
    <mergeCell ref="A2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BF08-2042-44CA-8190-C67D368560B5}">
  <dimension ref="A1:N9"/>
  <sheetViews>
    <sheetView rightToLeft="1" workbookViewId="0">
      <selection activeCell="E12" sqref="E12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12" t="s">
        <v>2</v>
      </c>
      <c r="B2" s="3" t="s">
        <v>3</v>
      </c>
      <c r="C2" s="4">
        <v>13</v>
      </c>
      <c r="D2" s="4">
        <v>16</v>
      </c>
      <c r="E2" s="4">
        <v>14</v>
      </c>
      <c r="F2" s="4">
        <v>9</v>
      </c>
      <c r="G2" s="4">
        <v>14</v>
      </c>
      <c r="H2" s="4">
        <v>18</v>
      </c>
      <c r="I2" s="4">
        <v>6</v>
      </c>
      <c r="J2" s="4">
        <v>2</v>
      </c>
      <c r="K2" s="4">
        <v>11</v>
      </c>
      <c r="L2" s="4">
        <v>16</v>
      </c>
      <c r="M2" s="4">
        <v>17</v>
      </c>
      <c r="N2" s="4">
        <v>15</v>
      </c>
    </row>
    <row r="3" spans="1:14" ht="26.4" x14ac:dyDescent="0.25">
      <c r="A3" s="12"/>
      <c r="B3" s="3" t="s">
        <v>4</v>
      </c>
      <c r="C3" s="4">
        <v>17</v>
      </c>
      <c r="D3" s="4">
        <v>17</v>
      </c>
      <c r="E3" s="4">
        <v>17</v>
      </c>
      <c r="F3" s="4">
        <v>17</v>
      </c>
      <c r="G3" s="4">
        <v>17</v>
      </c>
      <c r="H3" s="4">
        <v>17</v>
      </c>
      <c r="I3" s="4">
        <v>17</v>
      </c>
      <c r="J3" s="4">
        <v>17</v>
      </c>
      <c r="K3" s="4">
        <v>45</v>
      </c>
      <c r="L3" s="4">
        <v>45</v>
      </c>
      <c r="M3" s="4">
        <v>45</v>
      </c>
      <c r="N3" s="4">
        <v>45</v>
      </c>
    </row>
    <row r="4" spans="1:14" ht="39.6" x14ac:dyDescent="0.25">
      <c r="A4" s="12"/>
      <c r="B4" s="3" t="s">
        <v>5</v>
      </c>
      <c r="C4" s="5">
        <v>0.8</v>
      </c>
      <c r="D4" s="5">
        <v>0.8</v>
      </c>
      <c r="E4" s="5">
        <v>0.8</v>
      </c>
      <c r="F4" s="5">
        <v>0.8</v>
      </c>
      <c r="G4" s="5">
        <v>0.8</v>
      </c>
      <c r="H4" s="5">
        <v>0.8</v>
      </c>
      <c r="I4" s="5">
        <v>0.8</v>
      </c>
      <c r="J4" s="5">
        <v>0.8</v>
      </c>
      <c r="K4" s="5">
        <v>0.8</v>
      </c>
      <c r="L4" s="5">
        <v>0.8</v>
      </c>
      <c r="M4" s="5">
        <v>0.8</v>
      </c>
      <c r="N4" s="5">
        <v>0.8</v>
      </c>
    </row>
    <row r="5" spans="1:14" ht="39.6" x14ac:dyDescent="0.25">
      <c r="A5" s="12"/>
      <c r="B5" s="3" t="s">
        <v>6</v>
      </c>
      <c r="C5" s="4">
        <v>4</v>
      </c>
      <c r="D5" s="4">
        <v>4</v>
      </c>
      <c r="E5" s="4">
        <v>4</v>
      </c>
      <c r="F5" s="4">
        <v>4</v>
      </c>
      <c r="G5" s="4">
        <v>4</v>
      </c>
      <c r="H5" s="4">
        <v>4</v>
      </c>
      <c r="I5" s="4">
        <v>4</v>
      </c>
      <c r="J5" s="4">
        <v>4</v>
      </c>
      <c r="K5" s="4">
        <v>4</v>
      </c>
      <c r="L5" s="4">
        <v>4</v>
      </c>
      <c r="M5" s="4">
        <v>4</v>
      </c>
      <c r="N5" s="4">
        <v>4</v>
      </c>
    </row>
    <row r="6" spans="1:14" ht="26.4" x14ac:dyDescent="0.25">
      <c r="A6" s="12"/>
      <c r="B6" s="3" t="s">
        <v>7</v>
      </c>
      <c r="C6" s="6">
        <f>C3*C4+C5</f>
        <v>17.600000000000001</v>
      </c>
      <c r="D6" s="6">
        <f t="shared" ref="D6:N6" si="0">D3*D4+D5</f>
        <v>17.600000000000001</v>
      </c>
      <c r="E6" s="6">
        <f t="shared" si="0"/>
        <v>17.600000000000001</v>
      </c>
      <c r="F6" s="6">
        <f t="shared" si="0"/>
        <v>17.600000000000001</v>
      </c>
      <c r="G6" s="6">
        <f t="shared" si="0"/>
        <v>17.600000000000001</v>
      </c>
      <c r="H6" s="6">
        <f t="shared" si="0"/>
        <v>17.600000000000001</v>
      </c>
      <c r="I6" s="6">
        <f t="shared" si="0"/>
        <v>17.600000000000001</v>
      </c>
      <c r="J6" s="6">
        <f t="shared" si="0"/>
        <v>17.600000000000001</v>
      </c>
      <c r="K6" s="6">
        <f t="shared" si="0"/>
        <v>40</v>
      </c>
      <c r="L6" s="6">
        <f t="shared" si="0"/>
        <v>40</v>
      </c>
      <c r="M6" s="6">
        <f t="shared" si="0"/>
        <v>40</v>
      </c>
      <c r="N6" s="6">
        <f t="shared" si="0"/>
        <v>40</v>
      </c>
    </row>
    <row r="7" spans="1:14" ht="26.4" x14ac:dyDescent="0.25">
      <c r="A7" s="12"/>
      <c r="B7" s="3" t="s">
        <v>8</v>
      </c>
      <c r="C7" s="4">
        <v>5</v>
      </c>
      <c r="D7" s="4">
        <v>5</v>
      </c>
      <c r="E7" s="4">
        <v>5.25</v>
      </c>
      <c r="F7" s="4">
        <v>5.25</v>
      </c>
      <c r="G7" s="4">
        <v>5.25</v>
      </c>
      <c r="H7" s="4">
        <v>5.25</v>
      </c>
      <c r="I7" s="4">
        <v>5.25</v>
      </c>
      <c r="J7" s="4">
        <v>5.25</v>
      </c>
      <c r="K7" s="4">
        <v>5.25</v>
      </c>
      <c r="L7" s="4">
        <v>5.25</v>
      </c>
      <c r="M7" s="4">
        <v>5.25</v>
      </c>
      <c r="N7" s="4">
        <v>5</v>
      </c>
    </row>
    <row r="8" spans="1:14" ht="39.6" x14ac:dyDescent="0.25">
      <c r="A8" s="12"/>
      <c r="B8" s="3" t="s">
        <v>9</v>
      </c>
      <c r="C8" s="4">
        <v>35</v>
      </c>
      <c r="D8" s="4">
        <v>35</v>
      </c>
      <c r="E8" s="4">
        <v>35</v>
      </c>
      <c r="F8" s="4">
        <v>35</v>
      </c>
      <c r="G8" s="4">
        <v>35</v>
      </c>
      <c r="H8" s="4">
        <v>35</v>
      </c>
      <c r="I8" s="4">
        <v>35</v>
      </c>
      <c r="J8" s="4">
        <v>35</v>
      </c>
      <c r="K8" s="4">
        <v>35</v>
      </c>
      <c r="L8" s="4">
        <v>35</v>
      </c>
      <c r="M8" s="4">
        <v>35</v>
      </c>
      <c r="N8" s="4">
        <v>35</v>
      </c>
    </row>
    <row r="9" spans="1:14" ht="39.6" x14ac:dyDescent="0.25">
      <c r="A9" s="12"/>
      <c r="B9" s="7" t="s">
        <v>10</v>
      </c>
      <c r="C9" s="8">
        <f>C2*C6*C7*C8</f>
        <v>40040</v>
      </c>
      <c r="D9" s="8">
        <f t="shared" ref="D9:N9" si="1">D2*D6*D7*D8</f>
        <v>49280</v>
      </c>
      <c r="E9" s="8">
        <f t="shared" si="1"/>
        <v>45276.000000000007</v>
      </c>
      <c r="F9" s="8">
        <f t="shared" si="1"/>
        <v>29106</v>
      </c>
      <c r="G9" s="8">
        <f t="shared" si="1"/>
        <v>45276.000000000007</v>
      </c>
      <c r="H9" s="8">
        <f t="shared" si="1"/>
        <v>58212</v>
      </c>
      <c r="I9" s="8">
        <f t="shared" si="1"/>
        <v>19404.000000000004</v>
      </c>
      <c r="J9" s="8">
        <f t="shared" si="1"/>
        <v>6468</v>
      </c>
      <c r="K9" s="8">
        <f t="shared" si="1"/>
        <v>80850</v>
      </c>
      <c r="L9" s="8">
        <f t="shared" si="1"/>
        <v>117600</v>
      </c>
      <c r="M9" s="8">
        <f t="shared" si="1"/>
        <v>124950</v>
      </c>
      <c r="N9" s="8">
        <f t="shared" si="1"/>
        <v>105000</v>
      </c>
    </row>
  </sheetData>
  <mergeCells count="1">
    <mergeCell ref="A2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3B01-B062-417D-82A8-95EC81B651F6}">
  <dimension ref="A1:N9"/>
  <sheetViews>
    <sheetView rightToLeft="1" workbookViewId="0">
      <selection sqref="A1:N9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12" t="s">
        <v>2</v>
      </c>
      <c r="B2" s="3" t="s">
        <v>3</v>
      </c>
      <c r="C2" s="4">
        <v>17</v>
      </c>
      <c r="D2" s="4">
        <v>16</v>
      </c>
      <c r="E2" s="4">
        <v>6</v>
      </c>
      <c r="F2" s="4">
        <v>9</v>
      </c>
      <c r="G2" s="4">
        <v>12</v>
      </c>
      <c r="H2" s="4">
        <v>8</v>
      </c>
      <c r="I2" s="4"/>
      <c r="J2" s="4"/>
      <c r="K2" s="4">
        <v>11</v>
      </c>
      <c r="L2" s="4">
        <v>16</v>
      </c>
      <c r="M2" s="4">
        <v>13</v>
      </c>
      <c r="N2" s="4">
        <v>15</v>
      </c>
    </row>
    <row r="3" spans="1:14" ht="26.4" x14ac:dyDescent="0.25">
      <c r="A3" s="12"/>
      <c r="B3" s="3" t="s">
        <v>4</v>
      </c>
      <c r="C3" s="4">
        <v>31</v>
      </c>
      <c r="D3" s="4">
        <v>31</v>
      </c>
      <c r="E3" s="4">
        <v>31</v>
      </c>
      <c r="F3" s="4">
        <v>30</v>
      </c>
      <c r="G3" s="4">
        <v>30</v>
      </c>
      <c r="H3" s="4">
        <v>30</v>
      </c>
      <c r="I3" s="4">
        <v>30</v>
      </c>
      <c r="J3" s="4">
        <v>30</v>
      </c>
      <c r="K3" s="4">
        <v>60</v>
      </c>
      <c r="L3" s="4">
        <v>58</v>
      </c>
      <c r="M3" s="4">
        <v>57</v>
      </c>
      <c r="N3" s="4">
        <v>56</v>
      </c>
    </row>
    <row r="4" spans="1:14" ht="39.6" x14ac:dyDescent="0.25">
      <c r="A4" s="12"/>
      <c r="B4" s="3" t="s">
        <v>5</v>
      </c>
      <c r="C4" s="5">
        <v>0.75</v>
      </c>
      <c r="D4" s="5">
        <v>0.75</v>
      </c>
      <c r="E4" s="5">
        <v>0.75</v>
      </c>
      <c r="F4" s="5">
        <v>0.75</v>
      </c>
      <c r="G4" s="5">
        <v>0.75</v>
      </c>
      <c r="H4" s="5">
        <v>0.75</v>
      </c>
      <c r="I4" s="5">
        <v>0.75</v>
      </c>
      <c r="J4" s="5">
        <v>0.75</v>
      </c>
      <c r="K4" s="5">
        <v>0.75</v>
      </c>
      <c r="L4" s="5">
        <v>0.75</v>
      </c>
      <c r="M4" s="5">
        <v>0.75</v>
      </c>
      <c r="N4" s="5">
        <v>0.75</v>
      </c>
    </row>
    <row r="5" spans="1:14" ht="39.6" x14ac:dyDescent="0.25">
      <c r="A5" s="12"/>
      <c r="B5" s="3" t="s">
        <v>6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4">
        <v>5</v>
      </c>
      <c r="N5" s="4">
        <v>5</v>
      </c>
    </row>
    <row r="6" spans="1:14" ht="26.4" x14ac:dyDescent="0.25">
      <c r="A6" s="12"/>
      <c r="B6" s="3" t="s">
        <v>7</v>
      </c>
      <c r="C6" s="6">
        <f>C3*C4+C5</f>
        <v>28.25</v>
      </c>
      <c r="D6" s="6">
        <f t="shared" ref="D6:N6" si="0">D3*D4+D5</f>
        <v>28.25</v>
      </c>
      <c r="E6" s="6">
        <f t="shared" si="0"/>
        <v>28.25</v>
      </c>
      <c r="F6" s="6">
        <f t="shared" si="0"/>
        <v>27.5</v>
      </c>
      <c r="G6" s="6">
        <f t="shared" si="0"/>
        <v>27.5</v>
      </c>
      <c r="H6" s="6">
        <f t="shared" si="0"/>
        <v>27.5</v>
      </c>
      <c r="I6" s="6">
        <f t="shared" si="0"/>
        <v>27.5</v>
      </c>
      <c r="J6" s="6">
        <f t="shared" si="0"/>
        <v>27.5</v>
      </c>
      <c r="K6" s="6">
        <f t="shared" si="0"/>
        <v>50</v>
      </c>
      <c r="L6" s="6">
        <f t="shared" si="0"/>
        <v>48.5</v>
      </c>
      <c r="M6" s="6">
        <f t="shared" si="0"/>
        <v>47.75</v>
      </c>
      <c r="N6" s="6">
        <f t="shared" si="0"/>
        <v>47</v>
      </c>
    </row>
    <row r="7" spans="1:14" ht="26.4" x14ac:dyDescent="0.25">
      <c r="A7" s="12"/>
      <c r="B7" s="3" t="s">
        <v>8</v>
      </c>
      <c r="C7" s="4">
        <v>5.25</v>
      </c>
      <c r="D7" s="4">
        <v>5.25</v>
      </c>
      <c r="E7" s="4">
        <v>5.25</v>
      </c>
      <c r="F7" s="4">
        <v>5.25</v>
      </c>
      <c r="G7" s="4">
        <v>5.25</v>
      </c>
      <c r="H7" s="4">
        <v>5.25</v>
      </c>
      <c r="I7" s="4">
        <v>5.25</v>
      </c>
      <c r="J7" s="4">
        <v>5.25</v>
      </c>
      <c r="K7" s="4">
        <v>5.25</v>
      </c>
      <c r="L7" s="4">
        <v>5.25</v>
      </c>
      <c r="M7" s="4">
        <v>5.25</v>
      </c>
      <c r="N7" s="4">
        <v>5.25</v>
      </c>
    </row>
    <row r="8" spans="1:14" ht="39.6" x14ac:dyDescent="0.25">
      <c r="A8" s="12"/>
      <c r="B8" s="3" t="s">
        <v>9</v>
      </c>
      <c r="C8" s="4">
        <v>33</v>
      </c>
      <c r="D8" s="4">
        <v>33</v>
      </c>
      <c r="E8" s="4">
        <v>33</v>
      </c>
      <c r="F8" s="4">
        <v>33</v>
      </c>
      <c r="G8" s="4">
        <v>33</v>
      </c>
      <c r="H8" s="4">
        <v>33</v>
      </c>
      <c r="I8" s="4">
        <v>33</v>
      </c>
      <c r="J8" s="4">
        <v>33</v>
      </c>
      <c r="K8" s="4">
        <v>33</v>
      </c>
      <c r="L8" s="4">
        <v>33</v>
      </c>
      <c r="M8" s="4">
        <v>33</v>
      </c>
      <c r="N8" s="4">
        <v>33</v>
      </c>
    </row>
    <row r="9" spans="1:14" ht="39.6" x14ac:dyDescent="0.25">
      <c r="A9" s="12"/>
      <c r="B9" s="7" t="s">
        <v>10</v>
      </c>
      <c r="C9" s="8">
        <f>C2*C6*C7*C8</f>
        <v>83203.3125</v>
      </c>
      <c r="D9" s="8">
        <f t="shared" ref="D9:N9" si="1">D2*D6*D7*D8</f>
        <v>78309</v>
      </c>
      <c r="E9" s="8">
        <f t="shared" si="1"/>
        <v>29365.875</v>
      </c>
      <c r="F9" s="8">
        <f t="shared" si="1"/>
        <v>42879.375</v>
      </c>
      <c r="G9" s="8">
        <f t="shared" si="1"/>
        <v>57172.5</v>
      </c>
      <c r="H9" s="8">
        <f t="shared" si="1"/>
        <v>38115</v>
      </c>
      <c r="I9" s="8">
        <f t="shared" si="1"/>
        <v>0</v>
      </c>
      <c r="J9" s="8">
        <f t="shared" si="1"/>
        <v>0</v>
      </c>
      <c r="K9" s="8">
        <f t="shared" si="1"/>
        <v>95287.5</v>
      </c>
      <c r="L9" s="8">
        <f t="shared" si="1"/>
        <v>134442</v>
      </c>
      <c r="M9" s="8">
        <f t="shared" si="1"/>
        <v>107544.9375</v>
      </c>
      <c r="N9" s="8">
        <f t="shared" si="1"/>
        <v>122141.25</v>
      </c>
    </row>
  </sheetData>
  <mergeCells count="1">
    <mergeCell ref="A2:A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F4DD-FD14-4E89-B5E9-1D0B1DCE6FEA}">
  <dimension ref="A1:N9"/>
  <sheetViews>
    <sheetView rightToLeft="1" workbookViewId="0">
      <selection sqref="A1:N9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12" t="s">
        <v>2</v>
      </c>
      <c r="B2" s="3" t="s">
        <v>3</v>
      </c>
      <c r="C2" s="4">
        <v>14</v>
      </c>
      <c r="D2" s="4">
        <v>14</v>
      </c>
      <c r="E2" s="4">
        <v>9</v>
      </c>
      <c r="F2" s="4">
        <v>8</v>
      </c>
      <c r="G2" s="4">
        <v>10</v>
      </c>
      <c r="H2" s="4">
        <v>11</v>
      </c>
      <c r="I2" s="4"/>
      <c r="J2" s="4"/>
      <c r="K2" s="4">
        <v>9</v>
      </c>
      <c r="L2" s="4">
        <v>14</v>
      </c>
      <c r="M2" s="4">
        <v>15</v>
      </c>
      <c r="N2" s="4">
        <v>14</v>
      </c>
    </row>
    <row r="3" spans="1:14" ht="26.4" x14ac:dyDescent="0.25">
      <c r="A3" s="12"/>
      <c r="B3" s="3" t="s">
        <v>4</v>
      </c>
      <c r="C3" s="4">
        <v>75</v>
      </c>
      <c r="D3" s="4">
        <v>75</v>
      </c>
      <c r="E3" s="4">
        <v>75</v>
      </c>
      <c r="F3" s="4">
        <v>75</v>
      </c>
      <c r="G3" s="4">
        <v>75</v>
      </c>
      <c r="H3" s="4">
        <v>75</v>
      </c>
      <c r="I3" s="4"/>
      <c r="J3" s="4"/>
      <c r="K3" s="4">
        <v>78</v>
      </c>
      <c r="L3" s="4">
        <v>78</v>
      </c>
      <c r="M3" s="4">
        <v>78</v>
      </c>
      <c r="N3" s="4">
        <v>78</v>
      </c>
    </row>
    <row r="4" spans="1:14" ht="39.6" x14ac:dyDescent="0.25">
      <c r="A4" s="12"/>
      <c r="B4" s="3" t="s">
        <v>5</v>
      </c>
      <c r="C4" s="5">
        <v>0.75</v>
      </c>
      <c r="D4" s="5">
        <v>0.75</v>
      </c>
      <c r="E4" s="5">
        <v>0.75</v>
      </c>
      <c r="F4" s="5">
        <v>0.7</v>
      </c>
      <c r="G4" s="5">
        <v>0.7</v>
      </c>
      <c r="H4" s="5">
        <v>0.7</v>
      </c>
      <c r="I4" s="5"/>
      <c r="J4" s="5"/>
      <c r="K4" s="5">
        <v>0.8</v>
      </c>
      <c r="L4" s="5">
        <v>0.8</v>
      </c>
      <c r="M4" s="5">
        <v>0.75</v>
      </c>
      <c r="N4" s="5">
        <v>0.75</v>
      </c>
    </row>
    <row r="5" spans="1:14" ht="39.6" x14ac:dyDescent="0.25">
      <c r="A5" s="12"/>
      <c r="B5" s="3" t="s">
        <v>6</v>
      </c>
      <c r="C5" s="4">
        <v>6</v>
      </c>
      <c r="D5" s="4">
        <v>6</v>
      </c>
      <c r="E5" s="4">
        <v>6</v>
      </c>
      <c r="F5" s="4">
        <v>6</v>
      </c>
      <c r="G5" s="4">
        <v>6</v>
      </c>
      <c r="H5" s="4">
        <v>6</v>
      </c>
      <c r="I5" s="4"/>
      <c r="J5" s="4"/>
      <c r="K5" s="4">
        <v>6</v>
      </c>
      <c r="L5" s="4">
        <v>6</v>
      </c>
      <c r="M5" s="4">
        <v>6</v>
      </c>
      <c r="N5" s="4">
        <v>6</v>
      </c>
    </row>
    <row r="6" spans="1:14" ht="26.4" x14ac:dyDescent="0.25">
      <c r="A6" s="12"/>
      <c r="B6" s="3" t="s">
        <v>7</v>
      </c>
      <c r="C6" s="6">
        <f>C3*C4+C5</f>
        <v>62.25</v>
      </c>
      <c r="D6" s="6">
        <f t="shared" ref="D6:N6" si="0">D3*D4+D5</f>
        <v>62.25</v>
      </c>
      <c r="E6" s="6">
        <f t="shared" si="0"/>
        <v>62.25</v>
      </c>
      <c r="F6" s="6">
        <f t="shared" si="0"/>
        <v>58.5</v>
      </c>
      <c r="G6" s="6">
        <f t="shared" si="0"/>
        <v>58.5</v>
      </c>
      <c r="H6" s="6">
        <f t="shared" si="0"/>
        <v>58.5</v>
      </c>
      <c r="I6" s="6">
        <f t="shared" si="0"/>
        <v>0</v>
      </c>
      <c r="J6" s="6">
        <f t="shared" si="0"/>
        <v>0</v>
      </c>
      <c r="K6" s="6">
        <f t="shared" si="0"/>
        <v>68.400000000000006</v>
      </c>
      <c r="L6" s="6">
        <f t="shared" si="0"/>
        <v>68.400000000000006</v>
      </c>
      <c r="M6" s="6">
        <f t="shared" si="0"/>
        <v>64.5</v>
      </c>
      <c r="N6" s="6">
        <f t="shared" si="0"/>
        <v>64.5</v>
      </c>
    </row>
    <row r="7" spans="1:14" ht="26.4" x14ac:dyDescent="0.25">
      <c r="A7" s="12"/>
      <c r="B7" s="3" t="s">
        <v>8</v>
      </c>
      <c r="C7" s="4">
        <v>4.75</v>
      </c>
      <c r="D7" s="4">
        <v>5</v>
      </c>
      <c r="E7" s="4">
        <v>5.25</v>
      </c>
      <c r="F7" s="4">
        <v>5.25</v>
      </c>
      <c r="G7" s="4">
        <v>5.25</v>
      </c>
      <c r="H7" s="4">
        <v>5.25</v>
      </c>
      <c r="I7" s="4">
        <v>6</v>
      </c>
      <c r="J7" s="4"/>
      <c r="K7" s="4">
        <v>5</v>
      </c>
      <c r="L7" s="4">
        <v>4.75</v>
      </c>
      <c r="M7" s="4">
        <v>4.75</v>
      </c>
      <c r="N7" s="4">
        <v>4.75</v>
      </c>
    </row>
    <row r="8" spans="1:14" ht="39.6" x14ac:dyDescent="0.25">
      <c r="A8" s="12"/>
      <c r="B8" s="3" t="s">
        <v>9</v>
      </c>
      <c r="C8" s="4">
        <v>36</v>
      </c>
      <c r="D8" s="4">
        <v>36</v>
      </c>
      <c r="E8" s="4">
        <v>36</v>
      </c>
      <c r="F8" s="4">
        <v>36</v>
      </c>
      <c r="G8" s="4">
        <v>36</v>
      </c>
      <c r="H8" s="4">
        <v>36</v>
      </c>
      <c r="I8" s="4">
        <v>36</v>
      </c>
      <c r="J8" s="4">
        <v>36</v>
      </c>
      <c r="K8" s="4">
        <v>36</v>
      </c>
      <c r="L8" s="4">
        <v>36</v>
      </c>
      <c r="M8" s="4">
        <v>36</v>
      </c>
      <c r="N8" s="4">
        <v>36</v>
      </c>
    </row>
    <row r="9" spans="1:14" ht="39.6" x14ac:dyDescent="0.25">
      <c r="A9" s="12"/>
      <c r="B9" s="7" t="s">
        <v>10</v>
      </c>
      <c r="C9" s="8">
        <f>C2*C6*C7*C8</f>
        <v>149026.5</v>
      </c>
      <c r="D9" s="8">
        <f t="shared" ref="D9:N9" si="1">D2*D6*D7*D8</f>
        <v>156870</v>
      </c>
      <c r="E9" s="8">
        <f t="shared" si="1"/>
        <v>105887.25</v>
      </c>
      <c r="F9" s="8">
        <f t="shared" si="1"/>
        <v>88452</v>
      </c>
      <c r="G9" s="8">
        <f t="shared" si="1"/>
        <v>110565</v>
      </c>
      <c r="H9" s="8">
        <f t="shared" si="1"/>
        <v>121621.5</v>
      </c>
      <c r="I9" s="8">
        <f t="shared" si="1"/>
        <v>0</v>
      </c>
      <c r="J9" s="8">
        <f t="shared" si="1"/>
        <v>0</v>
      </c>
      <c r="K9" s="8">
        <f t="shared" si="1"/>
        <v>110808</v>
      </c>
      <c r="L9" s="8">
        <f t="shared" si="1"/>
        <v>163749.6</v>
      </c>
      <c r="M9" s="8">
        <f t="shared" si="1"/>
        <v>165442.5</v>
      </c>
      <c r="N9" s="8">
        <f t="shared" si="1"/>
        <v>154413</v>
      </c>
    </row>
  </sheetData>
  <mergeCells count="1">
    <mergeCell ref="A2:A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7D37-8DBC-46E4-A29E-D5E4483C95AF}">
  <dimension ref="A1:N9"/>
  <sheetViews>
    <sheetView rightToLeft="1" workbookViewId="0">
      <selection sqref="A1:N9"/>
    </sheetView>
  </sheetViews>
  <sheetFormatPr defaultRowHeight="13.8" x14ac:dyDescent="0.25"/>
  <sheetData>
    <row r="1" spans="1:14" ht="15.6" x14ac:dyDescent="0.25">
      <c r="A1" s="1" t="s">
        <v>0</v>
      </c>
      <c r="B1" s="1" t="s">
        <v>1</v>
      </c>
      <c r="C1" s="9">
        <v>45658</v>
      </c>
      <c r="D1" s="9">
        <v>45689</v>
      </c>
      <c r="E1" s="9">
        <v>45717</v>
      </c>
      <c r="F1" s="9">
        <v>45748</v>
      </c>
      <c r="G1" s="9">
        <v>45778</v>
      </c>
      <c r="H1" s="9">
        <v>45809</v>
      </c>
      <c r="I1" s="9">
        <v>45839</v>
      </c>
      <c r="J1" s="9">
        <v>45870</v>
      </c>
      <c r="K1" s="9">
        <v>45901</v>
      </c>
      <c r="L1" s="9">
        <v>45931</v>
      </c>
      <c r="M1" s="9">
        <v>45962</v>
      </c>
      <c r="N1" s="9">
        <v>45992</v>
      </c>
    </row>
    <row r="2" spans="1:14" x14ac:dyDescent="0.25">
      <c r="A2" s="12" t="s">
        <v>2</v>
      </c>
      <c r="B2" s="3" t="s">
        <v>3</v>
      </c>
      <c r="C2" s="4">
        <v>17</v>
      </c>
      <c r="D2" s="4">
        <v>16</v>
      </c>
      <c r="E2" s="4">
        <v>6</v>
      </c>
      <c r="F2" s="4">
        <v>9</v>
      </c>
      <c r="G2" s="4">
        <v>12</v>
      </c>
      <c r="H2" s="4">
        <v>8</v>
      </c>
      <c r="I2" s="4"/>
      <c r="J2" s="4"/>
      <c r="K2" s="4">
        <v>11</v>
      </c>
      <c r="L2" s="4">
        <v>16</v>
      </c>
      <c r="M2" s="4">
        <v>13</v>
      </c>
      <c r="N2" s="4">
        <v>15</v>
      </c>
    </row>
    <row r="3" spans="1:14" ht="26.4" x14ac:dyDescent="0.25">
      <c r="A3" s="12"/>
      <c r="B3" s="3" t="s">
        <v>4</v>
      </c>
      <c r="C3" s="4">
        <v>31</v>
      </c>
      <c r="D3" s="4">
        <v>31</v>
      </c>
      <c r="E3" s="4">
        <v>31</v>
      </c>
      <c r="F3" s="4">
        <v>30</v>
      </c>
      <c r="G3" s="4">
        <v>30</v>
      </c>
      <c r="H3" s="4">
        <v>30</v>
      </c>
      <c r="I3" s="4">
        <v>30</v>
      </c>
      <c r="J3" s="4">
        <v>30</v>
      </c>
      <c r="K3" s="4">
        <v>60</v>
      </c>
      <c r="L3" s="4">
        <v>58</v>
      </c>
      <c r="M3" s="4">
        <v>57</v>
      </c>
      <c r="N3" s="4">
        <v>56</v>
      </c>
    </row>
    <row r="4" spans="1:14" ht="39.6" x14ac:dyDescent="0.25">
      <c r="A4" s="12"/>
      <c r="B4" s="3" t="s">
        <v>5</v>
      </c>
      <c r="C4" s="5">
        <v>0.75</v>
      </c>
      <c r="D4" s="5">
        <v>0.75</v>
      </c>
      <c r="E4" s="5">
        <v>0.75</v>
      </c>
      <c r="F4" s="5">
        <v>0.75</v>
      </c>
      <c r="G4" s="5">
        <v>0.75</v>
      </c>
      <c r="H4" s="5">
        <v>0.75</v>
      </c>
      <c r="I4" s="5">
        <v>0.75</v>
      </c>
      <c r="J4" s="5">
        <v>0.75</v>
      </c>
      <c r="K4" s="5">
        <v>0.75</v>
      </c>
      <c r="L4" s="5">
        <v>0.75</v>
      </c>
      <c r="M4" s="5">
        <v>0.75</v>
      </c>
      <c r="N4" s="5">
        <v>0.75</v>
      </c>
    </row>
    <row r="5" spans="1:14" ht="39.6" x14ac:dyDescent="0.25">
      <c r="A5" s="12"/>
      <c r="B5" s="3" t="s">
        <v>6</v>
      </c>
      <c r="C5" s="4">
        <v>5</v>
      </c>
      <c r="D5" s="4">
        <v>5</v>
      </c>
      <c r="E5" s="4">
        <v>5</v>
      </c>
      <c r="F5" s="4">
        <v>5</v>
      </c>
      <c r="G5" s="4">
        <v>5</v>
      </c>
      <c r="H5" s="4">
        <v>5</v>
      </c>
      <c r="I5" s="4">
        <v>5</v>
      </c>
      <c r="J5" s="4">
        <v>5</v>
      </c>
      <c r="K5" s="4">
        <v>5</v>
      </c>
      <c r="L5" s="4">
        <v>5</v>
      </c>
      <c r="M5" s="4">
        <v>5</v>
      </c>
      <c r="N5" s="4">
        <v>5</v>
      </c>
    </row>
    <row r="6" spans="1:14" ht="26.4" x14ac:dyDescent="0.25">
      <c r="A6" s="12"/>
      <c r="B6" s="3" t="s">
        <v>7</v>
      </c>
      <c r="C6" s="6">
        <f>C3*C4+C5</f>
        <v>28.25</v>
      </c>
      <c r="D6" s="6">
        <f t="shared" ref="D6:N6" si="0">D3*D4+D5</f>
        <v>28.25</v>
      </c>
      <c r="E6" s="6">
        <f t="shared" si="0"/>
        <v>28.25</v>
      </c>
      <c r="F6" s="6">
        <f t="shared" si="0"/>
        <v>27.5</v>
      </c>
      <c r="G6" s="6">
        <f t="shared" si="0"/>
        <v>27.5</v>
      </c>
      <c r="H6" s="6">
        <f t="shared" si="0"/>
        <v>27.5</v>
      </c>
      <c r="I6" s="6">
        <f t="shared" si="0"/>
        <v>27.5</v>
      </c>
      <c r="J6" s="6">
        <f t="shared" si="0"/>
        <v>27.5</v>
      </c>
      <c r="K6" s="6">
        <f t="shared" si="0"/>
        <v>50</v>
      </c>
      <c r="L6" s="6">
        <f t="shared" si="0"/>
        <v>48.5</v>
      </c>
      <c r="M6" s="6">
        <f t="shared" si="0"/>
        <v>47.75</v>
      </c>
      <c r="N6" s="6">
        <f t="shared" si="0"/>
        <v>47</v>
      </c>
    </row>
    <row r="7" spans="1:14" ht="26.4" x14ac:dyDescent="0.25">
      <c r="A7" s="12"/>
      <c r="B7" s="3" t="s">
        <v>8</v>
      </c>
      <c r="C7" s="4">
        <v>5.25</v>
      </c>
      <c r="D7" s="4">
        <v>5.25</v>
      </c>
      <c r="E7" s="4">
        <v>5.25</v>
      </c>
      <c r="F7" s="4">
        <v>5.25</v>
      </c>
      <c r="G7" s="4">
        <v>5.25</v>
      </c>
      <c r="H7" s="4">
        <v>5.25</v>
      </c>
      <c r="I7" s="4">
        <v>5.25</v>
      </c>
      <c r="J7" s="4">
        <v>5.25</v>
      </c>
      <c r="K7" s="4">
        <v>5.25</v>
      </c>
      <c r="L7" s="4">
        <v>5.25</v>
      </c>
      <c r="M7" s="4">
        <v>5.25</v>
      </c>
      <c r="N7" s="4">
        <v>5.25</v>
      </c>
    </row>
    <row r="8" spans="1:14" ht="39.6" x14ac:dyDescent="0.25">
      <c r="A8" s="12"/>
      <c r="B8" s="3" t="s">
        <v>9</v>
      </c>
      <c r="C8" s="4">
        <v>33</v>
      </c>
      <c r="D8" s="4">
        <v>33</v>
      </c>
      <c r="E8" s="4">
        <v>33</v>
      </c>
      <c r="F8" s="4">
        <v>33</v>
      </c>
      <c r="G8" s="4">
        <v>33</v>
      </c>
      <c r="H8" s="4">
        <v>33</v>
      </c>
      <c r="I8" s="4">
        <v>33</v>
      </c>
      <c r="J8" s="4">
        <v>33</v>
      </c>
      <c r="K8" s="4">
        <v>33</v>
      </c>
      <c r="L8" s="4">
        <v>33</v>
      </c>
      <c r="M8" s="4">
        <v>33</v>
      </c>
      <c r="N8" s="4">
        <v>33</v>
      </c>
    </row>
    <row r="9" spans="1:14" ht="39.6" x14ac:dyDescent="0.25">
      <c r="A9" s="12"/>
      <c r="B9" s="7" t="s">
        <v>10</v>
      </c>
      <c r="C9" s="8">
        <f>C2*C6*C7*C8</f>
        <v>83203.3125</v>
      </c>
      <c r="D9" s="8">
        <f t="shared" ref="D9:N9" si="1">D2*D6*D7*D8</f>
        <v>78309</v>
      </c>
      <c r="E9" s="8">
        <f t="shared" si="1"/>
        <v>29365.875</v>
      </c>
      <c r="F9" s="8">
        <f t="shared" si="1"/>
        <v>42879.375</v>
      </c>
      <c r="G9" s="8">
        <f t="shared" si="1"/>
        <v>57172.5</v>
      </c>
      <c r="H9" s="8">
        <f t="shared" si="1"/>
        <v>38115</v>
      </c>
      <c r="I9" s="8">
        <f t="shared" si="1"/>
        <v>0</v>
      </c>
      <c r="J9" s="8">
        <f t="shared" si="1"/>
        <v>0</v>
      </c>
      <c r="K9" s="8">
        <f t="shared" si="1"/>
        <v>95287.5</v>
      </c>
      <c r="L9" s="8">
        <f t="shared" si="1"/>
        <v>134442</v>
      </c>
      <c r="M9" s="8">
        <f t="shared" si="1"/>
        <v>107544.9375</v>
      </c>
      <c r="N9" s="8">
        <f t="shared" si="1"/>
        <v>122141.25</v>
      </c>
    </row>
  </sheetData>
  <mergeCells count="1">
    <mergeCell ref="A2:A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9CA27832-1A84-41E8-BB98-71DA82362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171586-1276-4147-a472-75ee4e8864b8"/>
    <ds:schemaRef ds:uri="9f5944b6-fab9-47ef-9172-7602c374c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35FA8D-2DC3-409C-B0F8-A1226273DC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7C42C2-6345-4696-8100-6291BC9B9DD9}">
  <ds:schemaRefs>
    <ds:schemaRef ds:uri="http://schemas.microsoft.com/office/2006/metadata/properties"/>
    <ds:schemaRef ds:uri="http://schemas.microsoft.com/office/infopath/2007/PartnerControls"/>
    <ds:schemaRef ds:uri="9f5944b6-fab9-47ef-9172-7602c374cd8e"/>
    <ds:schemaRef ds:uri="3b171586-1276-4147-a472-75ee4e8864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אשכול</vt:lpstr>
      <vt:lpstr>גולן</vt:lpstr>
      <vt:lpstr>חצבה</vt:lpstr>
      <vt:lpstr>גליל עליון</vt:lpstr>
      <vt:lpstr>ניצנה</vt:lpstr>
      <vt:lpstr>ניצנים</vt:lpstr>
      <vt:lpstr>תבור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דרור נדל</dc:creator>
  <cp:lastModifiedBy>דרור נדל</cp:lastModifiedBy>
  <dcterms:created xsi:type="dcterms:W3CDTF">2015-06-05T18:19:34Z</dcterms:created>
  <dcterms:modified xsi:type="dcterms:W3CDTF">2026-04-20T09:24:40Z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  <property fmtid="{D5CDD505-2E9C-101B-9397-08002B2CF9AE}" pid="3" name="MediaServiceImageTags">
    <vt:lpwstr/>
  </property>
</Properties>
</file>