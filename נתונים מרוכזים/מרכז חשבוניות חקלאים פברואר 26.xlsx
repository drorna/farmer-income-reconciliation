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נתונים מרוכזים/"/>
    </mc:Choice>
  </mc:AlternateContent>
  <xr:revisionPtr revIDLastSave="869" documentId="8_{1B15E90E-C02A-4896-BF1C-47E150FD52A1}" xr6:coauthVersionLast="47" xr6:coauthVersionMax="47" xr10:uidLastSave="{BE32D2D7-52FD-4E1A-AA90-1757AD2FB573}"/>
  <bookViews>
    <workbookView xWindow="-108" yWindow="-108" windowWidth="23256" windowHeight="12456" activeTab="2" xr2:uid="{510D9A02-ABC1-4C17-824E-A22DAD80EF05}"/>
  </bookViews>
  <sheets>
    <sheet name="מרכז חשבוניות פברואר 2026" sheetId="1" r:id="rId1"/>
    <sheet name="חצבה" sheetId="2" r:id="rId2"/>
    <sheet name="גולן" sheetId="3" r:id="rId3"/>
    <sheet name="תבור" sheetId="4" r:id="rId4"/>
    <sheet name="ניצנים" sheetId="5" r:id="rId5"/>
    <sheet name="אשכול" sheetId="6" r:id="rId6"/>
    <sheet name="ניצנה" sheetId="7" r:id="rId7"/>
    <sheet name="גליל עליון" sheetId="8" r:id="rId8"/>
    <sheet name="פרטי חקלאים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/>
  <c r="J84" i="1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I27" i="2" l="1"/>
  <c r="H26" i="2"/>
  <c r="H25" i="2"/>
  <c r="H23" i="2"/>
  <c r="H20" i="2"/>
  <c r="H19" i="2"/>
  <c r="H24" i="2"/>
  <c r="H22" i="2"/>
  <c r="H18" i="2"/>
  <c r="H17" i="2"/>
  <c r="H15" i="2"/>
  <c r="H14" i="2"/>
  <c r="H21" i="2"/>
  <c r="H16" i="2"/>
  <c r="H13" i="2"/>
  <c r="H12" i="2"/>
  <c r="H11" i="2"/>
  <c r="H10" i="2"/>
  <c r="H9" i="2"/>
  <c r="H8" i="2"/>
  <c r="H7" i="2"/>
  <c r="H6" i="2"/>
  <c r="H5" i="2"/>
  <c r="J44" i="1"/>
  <c r="J42" i="1"/>
  <c r="J40" i="1"/>
  <c r="J38" i="1"/>
  <c r="J18" i="1"/>
  <c r="C228" i="2" l="1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J67" i="1" l="1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J148" i="1" l="1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J120" i="1"/>
  <c r="D2" i="8" l="1"/>
  <c r="C71" i="6" l="1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J58" i="1" l="1"/>
  <c r="J56" i="1"/>
  <c r="J54" i="1"/>
  <c r="J60" i="1"/>
  <c r="J62" i="1"/>
  <c r="J64" i="1"/>
  <c r="J66" i="1"/>
  <c r="J82" i="1" l="1"/>
  <c r="J132" i="1" l="1"/>
  <c r="J80" i="1" l="1"/>
  <c r="J146" i="1" l="1"/>
  <c r="J144" i="1"/>
  <c r="J142" i="1"/>
  <c r="J140" i="1"/>
  <c r="J138" i="1"/>
  <c r="J136" i="1"/>
  <c r="J134" i="1"/>
  <c r="K161" i="1" l="1"/>
  <c r="J100" i="1"/>
  <c r="J98" i="1"/>
  <c r="J78" i="1"/>
  <c r="J118" i="1"/>
  <c r="J122" i="1"/>
  <c r="J152" i="1" l="1"/>
  <c r="J36" i="1" l="1"/>
  <c r="J96" i="1" l="1"/>
  <c r="J94" i="1"/>
  <c r="J92" i="1"/>
  <c r="J76" i="1" l="1"/>
  <c r="J74" i="1"/>
  <c r="J72" i="1"/>
  <c r="J70" i="1"/>
  <c r="J130" i="1" l="1"/>
  <c r="J128" i="1"/>
  <c r="J110" i="1" l="1"/>
  <c r="J34" i="1" l="1"/>
  <c r="J32" i="1"/>
  <c r="J30" i="1"/>
  <c r="J28" i="1"/>
  <c r="J26" i="1"/>
  <c r="J24" i="1"/>
  <c r="J22" i="1"/>
  <c r="J20" i="1"/>
  <c r="J17" i="1"/>
  <c r="J15" i="1"/>
  <c r="J13" i="1"/>
  <c r="J11" i="1"/>
  <c r="J9" i="1"/>
  <c r="J7" i="1"/>
  <c r="J150" i="1"/>
  <c r="K162" i="1" s="1"/>
  <c r="J90" i="1" l="1"/>
  <c r="J163" i="1" l="1"/>
  <c r="L162" i="1"/>
  <c r="J126" i="1"/>
  <c r="J124" i="1"/>
  <c r="K160" i="1" s="1"/>
  <c r="J112" i="1"/>
  <c r="J104" i="1"/>
  <c r="J88" i="1"/>
  <c r="J86" i="1"/>
  <c r="J52" i="1"/>
  <c r="J50" i="1"/>
  <c r="J48" i="1"/>
  <c r="J46" i="1"/>
  <c r="J5" i="1"/>
  <c r="J3" i="1"/>
  <c r="K158" i="1" l="1"/>
  <c r="L158" i="1" s="1"/>
  <c r="K156" i="1"/>
  <c r="L156" i="1" s="1"/>
  <c r="L160" i="1"/>
  <c r="L62" i="1"/>
  <c r="K157" i="1"/>
  <c r="L157" i="1" s="1"/>
  <c r="K159" i="1"/>
  <c r="L159" i="1" s="1"/>
  <c r="L161" i="1"/>
  <c r="L163" i="1" l="1"/>
  <c r="K163" i="1"/>
  <c r="J164" i="1"/>
  <c r="J165" i="1" s="1"/>
</calcChain>
</file>

<file path=xl/sharedStrings.xml><?xml version="1.0" encoding="utf-8"?>
<sst xmlns="http://schemas.openxmlformats.org/spreadsheetml/2006/main" count="1584" uniqueCount="636">
  <si>
    <t>שם לקוח</t>
  </si>
  <si>
    <t>מספר לקוח</t>
  </si>
  <si>
    <t>פרטים+תאריך</t>
  </si>
  <si>
    <t>כמות</t>
  </si>
  <si>
    <t>תעריף+חודש</t>
  </si>
  <si>
    <t>סהכ</t>
  </si>
  <si>
    <t>נטורזה גד"ש בע"מ</t>
  </si>
  <si>
    <t>לסגירה גורפת</t>
  </si>
  <si>
    <r>
      <t>2.90.900.950-01</t>
    </r>
    <r>
      <rPr>
        <sz val="11"/>
        <color indexed="10"/>
        <rFont val="Arial"/>
        <family val="2"/>
      </rPr>
      <t/>
    </r>
  </si>
  <si>
    <t xml:space="preserve"> מיזם חקלאי - </t>
  </si>
  <si>
    <t xml:space="preserve">מיזם חקלאי - </t>
  </si>
  <si>
    <t>עמית מאיר</t>
  </si>
  <si>
    <t>מיזם חקלאי -</t>
  </si>
  <si>
    <t>אלי מורן</t>
  </si>
  <si>
    <t xml:space="preserve">משק גל </t>
  </si>
  <si>
    <t>משק בוקס בע"מ</t>
  </si>
  <si>
    <t>פרסקו חצבה 2006 בע"מ</t>
  </si>
  <si>
    <t>איתן ברנס</t>
  </si>
  <si>
    <t>דב מאיר</t>
  </si>
  <si>
    <t>שירותי האבקה יש מרדכי אגש"ח</t>
  </si>
  <si>
    <t>משק נבו</t>
  </si>
  <si>
    <t>משק שפר לויטה</t>
  </si>
  <si>
    <t>2.90.900.950-03</t>
  </si>
  <si>
    <t>ברטה בש</t>
  </si>
  <si>
    <t>החקלאית</t>
  </si>
  <si>
    <t>מיזם חקלאי</t>
  </si>
  <si>
    <t>אנגל בקר</t>
  </si>
  <si>
    <t>עין דור 2000 אגשח בעמ (גד"ש)</t>
  </si>
  <si>
    <t>כרם חוות השומר</t>
  </si>
  <si>
    <t xml:space="preserve">מיזם חקלאי </t>
  </si>
  <si>
    <t>2.90.900.950-04</t>
  </si>
  <si>
    <t>שיווק משק מילוא</t>
  </si>
  <si>
    <t>רוני אברהמי</t>
  </si>
  <si>
    <t>עסקים קשת</t>
  </si>
  <si>
    <t>2.90.900.950-02</t>
  </si>
  <si>
    <t>רפת צפון הגולן</t>
  </si>
  <si>
    <t>ענבי רמת הגולן</t>
  </si>
  <si>
    <t>עמיאל פירות יער בע"מ</t>
  </si>
  <si>
    <t>חקלאות בנטל אגש"ח</t>
  </si>
  <si>
    <t>מיכל אלטמן</t>
  </si>
  <si>
    <t>קיבוץ אורטל</t>
  </si>
  <si>
    <t>2.90.900.950-10</t>
  </si>
  <si>
    <t>פרדס חברים</t>
  </si>
  <si>
    <t>לוזון אבנר</t>
  </si>
  <si>
    <t>רמי נוימן</t>
  </si>
  <si>
    <t>2.90.900.950-06</t>
  </si>
  <si>
    <t>יאיר טייץ</t>
  </si>
  <si>
    <t>מטע קיבוץ יראון</t>
  </si>
  <si>
    <t xml:space="preserve">מיזם חקלאי -  </t>
  </si>
  <si>
    <t>2.90.900.950-21</t>
  </si>
  <si>
    <t>סה"כ בדוח דיווח</t>
  </si>
  <si>
    <t>סה"כ בקובץ</t>
  </si>
  <si>
    <t>פער</t>
  </si>
  <si>
    <t>ניצנים</t>
  </si>
  <si>
    <t>תבור</t>
  </si>
  <si>
    <t>חצבה</t>
  </si>
  <si>
    <t>גולן</t>
  </si>
  <si>
    <t>אשכול</t>
  </si>
  <si>
    <t>ניצנה</t>
  </si>
  <si>
    <t>יראון</t>
  </si>
  <si>
    <t>סה"כ לפי קובץ תכניות</t>
  </si>
  <si>
    <t>סה"כ קובץ מרכז</t>
  </si>
  <si>
    <t>570024851</t>
  </si>
  <si>
    <t>mata@kortal.org.il</t>
  </si>
  <si>
    <t>570028142</t>
  </si>
  <si>
    <t>32892846</t>
  </si>
  <si>
    <t>michalginon78@gmail.com</t>
  </si>
  <si>
    <t>570043489</t>
  </si>
  <si>
    <t>557680782</t>
  </si>
  <si>
    <t>matakeshet5@gmail.com</t>
  </si>
  <si>
    <t>570031096</t>
  </si>
  <si>
    <t>סה"כ שעות לחיוב</t>
  </si>
  <si>
    <t>אורטל</t>
  </si>
  <si>
    <t>גלית בוט -אל -רום-ע</t>
  </si>
  <si>
    <t>מיכל אלטמן -גבעת יואב-ע</t>
  </si>
  <si>
    <t>מרום גולן</t>
  </si>
  <si>
    <t>עמי ברקוביץ שעל</t>
  </si>
  <si>
    <t>קשת</t>
  </si>
  <si>
    <t>רפת</t>
  </si>
  <si>
    <t>מס' משובצים</t>
  </si>
  <si>
    <t>16713307</t>
  </si>
  <si>
    <t>ofirb83@gmail.com</t>
  </si>
  <si>
    <t>renananetzer@gmail.com</t>
  </si>
  <si>
    <t>0507822156</t>
  </si>
  <si>
    <t>27126325</t>
  </si>
  <si>
    <t>shirlysh11@gmail.com</t>
  </si>
  <si>
    <t>0507241416</t>
  </si>
  <si>
    <t>515285617</t>
  </si>
  <si>
    <t>yoash20@netvision.net.il</t>
  </si>
  <si>
    <t>הדר בכפר בע"מ</t>
  </si>
  <si>
    <t>0503263046</t>
  </si>
  <si>
    <t>515178689</t>
  </si>
  <si>
    <t>farmyariv@gmail.com</t>
  </si>
  <si>
    <t>איתן</t>
  </si>
  <si>
    <t>0523926923</t>
  </si>
  <si>
    <t>22614424</t>
  </si>
  <si>
    <t>pardesdn@hotmail.com</t>
  </si>
  <si>
    <t>mazkirut@sdenitzan.co.il</t>
  </si>
  <si>
    <t>0523251107</t>
  </si>
  <si>
    <t>558528071</t>
  </si>
  <si>
    <t>0547737585</t>
  </si>
  <si>
    <t>53376257</t>
  </si>
  <si>
    <t>rami.noiman@gmail.com</t>
  </si>
  <si>
    <t>סה"כ</t>
  </si>
  <si>
    <t>יריב מילוא כמהין</t>
  </si>
  <si>
    <t>0528308454</t>
  </si>
  <si>
    <t>0585194194</t>
  </si>
  <si>
    <t>0504037222</t>
  </si>
  <si>
    <t>0506702734</t>
  </si>
  <si>
    <t>0505713052</t>
  </si>
  <si>
    <t>0528348596</t>
  </si>
  <si>
    <t>570027276</t>
  </si>
  <si>
    <t>matafares@albsh.co.il</t>
  </si>
  <si>
    <t>אלוני הבשן</t>
  </si>
  <si>
    <t>asafbux@gmail.com</t>
  </si>
  <si>
    <t>0522561308</t>
  </si>
  <si>
    <t>513768853</t>
  </si>
  <si>
    <t>itaigal@arava.co.il</t>
  </si>
  <si>
    <t>0523666063</t>
  </si>
  <si>
    <t>22561385</t>
  </si>
  <si>
    <t>משק גל</t>
  </si>
  <si>
    <t>dror@frescofarm.co.il</t>
  </si>
  <si>
    <t>513836866</t>
  </si>
  <si>
    <t>עידן</t>
  </si>
  <si>
    <t>0523666078</t>
  </si>
  <si>
    <t>025258310</t>
  </si>
  <si>
    <t>bagg@zahav.net.il</t>
  </si>
  <si>
    <t>רמי שדה</t>
  </si>
  <si>
    <t>אוהד</t>
  </si>
  <si>
    <t>roy.bensmian@gmail.com</t>
  </si>
  <si>
    <t>0523796620</t>
  </si>
  <si>
    <t>570004390</t>
  </si>
  <si>
    <t>קיבוץ דברת</t>
  </si>
  <si>
    <t>0506833319</t>
  </si>
  <si>
    <t>0506880559</t>
  </si>
  <si>
    <t>איתי גל עין יהב</t>
  </si>
  <si>
    <t>משק בוקס</t>
  </si>
  <si>
    <t>פרסקו- דרור שטרן</t>
  </si>
  <si>
    <t>צבי השכל -אלוני הבשן-ע</t>
  </si>
  <si>
    <t>רמי שדה -עין יהב-ע</t>
  </si>
  <si>
    <t>מטע- קיבוץ יראון</t>
  </si>
  <si>
    <t>570007765</t>
  </si>
  <si>
    <t>mata.admin@yiron.co.il</t>
  </si>
  <si>
    <t>תאריך</t>
  </si>
  <si>
    <t>אסף שוורץ קיבוץ יראון</t>
  </si>
  <si>
    <t>אופיר בש-שדה אילן-ע</t>
  </si>
  <si>
    <t>חממת כדורי</t>
  </si>
  <si>
    <t>כרם קיבוץ עין דור</t>
  </si>
  <si>
    <t>רועי בן סמיאן דברת</t>
  </si>
  <si>
    <t>אופיר בש</t>
  </si>
  <si>
    <t>(אל תשנה) משימה</t>
  </si>
  <si>
    <t>(אל תשנה) בדיקת סיכום של שורה</t>
  </si>
  <si>
    <t>(אל תשנה) Modified On</t>
  </si>
  <si>
    <t>שם</t>
  </si>
  <si>
    <t>איש קשר ראשי</t>
  </si>
  <si>
    <t>טלפון נייד ‏(איש קשר ראשי) ‏(איש קשר)</t>
  </si>
  <si>
    <t>יישוב</t>
  </si>
  <si>
    <t>מס' ח.פ / סמל מוסד ‏(תיק לקוח (משק)) ‏(תיק לקוח)</t>
  </si>
  <si>
    <t>שם לחשבונית ‏(תיק לקוח (משק)) ‏(תיק לקוח)</t>
  </si>
  <si>
    <t>מייל לחשבונית ‏(תיק לקוח (משק)) ‏(תיק לקוח)</t>
  </si>
  <si>
    <t>פרדס - חברים</t>
  </si>
  <si>
    <t>יעקוב שצרנסקי</t>
  </si>
  <si>
    <t>שדה ניצן</t>
  </si>
  <si>
    <t>גבעת יואב</t>
  </si>
  <si>
    <t>שדמות דבורה</t>
  </si>
  <si>
    <t>שפיר</t>
  </si>
  <si>
    <t>רמי נויימן -תלמי יוסף-ע</t>
  </si>
  <si>
    <t>רמי נויימן</t>
  </si>
  <si>
    <t>תלמי יוסף</t>
  </si>
  <si>
    <t>שדה אילן</t>
  </si>
  <si>
    <t>צבי השכל</t>
  </si>
  <si>
    <t>גלית בוט</t>
  </si>
  <si>
    <t>אל -רום</t>
  </si>
  <si>
    <t>מיכל אלטמן גבעת יואב</t>
  </si>
  <si>
    <t>שחר פוקס</t>
  </si>
  <si>
    <t>כדורי</t>
  </si>
  <si>
    <t>אבנר לוזון -אוהד-ע</t>
  </si>
  <si>
    <t>אבנר לוזון</t>
  </si>
  <si>
    <t>איתי גל</t>
  </si>
  <si>
    <t>עין יהב</t>
  </si>
  <si>
    <t>טל מור</t>
  </si>
  <si>
    <t>רועי בן סמיאן</t>
  </si>
  <si>
    <t>דברת</t>
  </si>
  <si>
    <t>עין דור 2000 אגשח בעמ קיבוץ עין דור</t>
  </si>
  <si>
    <t>0504047003</t>
  </si>
  <si>
    <t>עין דור</t>
  </si>
  <si>
    <t>570038950</t>
  </si>
  <si>
    <t>gadash@eindor.org.il</t>
  </si>
  <si>
    <t>דרור שטרן</t>
  </si>
  <si>
    <t>052-8666270</t>
  </si>
  <si>
    <t>אנגל - בקר</t>
  </si>
  <si>
    <t>עמיר אנגל</t>
  </si>
  <si>
    <t>054-2073728</t>
  </si>
  <si>
    <t>רמת צבי</t>
  </si>
  <si>
    <t>55413330</t>
  </si>
  <si>
    <t>עמיר אנגל (בקר)</t>
  </si>
  <si>
    <t>רתמים</t>
  </si>
  <si>
    <t>אילנייה</t>
  </si>
  <si>
    <t>רפת צפון הגולן רפת צפון הגולן</t>
  </si>
  <si>
    <t>r4000000@gmail.com</t>
  </si>
  <si>
    <t>שירלי שורץ -שדמות דבורה</t>
  </si>
  <si>
    <t>שירלי שורץ</t>
  </si>
  <si>
    <t>אופיר בלאו</t>
  </si>
  <si>
    <t>052-6197701</t>
  </si>
  <si>
    <t>אסף שוורץ</t>
  </si>
  <si>
    <t>054-7484854</t>
  </si>
  <si>
    <t>יואל ביתן איתן אא</t>
  </si>
  <si>
    <t>יואל ביטון</t>
  </si>
  <si>
    <t>כמהין</t>
  </si>
  <si>
    <t>אסף בוקס</t>
  </si>
  <si>
    <t>יריב מילוא</t>
  </si>
  <si>
    <t>עמיאל ברקוביץ</t>
  </si>
  <si>
    <t>0528337858</t>
  </si>
  <si>
    <t>שעל</t>
  </si>
  <si>
    <t>515624146</t>
  </si>
  <si>
    <t>petel10@013net.net</t>
  </si>
  <si>
    <t>אוריאל בן יצחק</t>
  </si>
  <si>
    <t>חיים לינרס</t>
  </si>
  <si>
    <t>0547917800</t>
  </si>
  <si>
    <t>319532909</t>
  </si>
  <si>
    <t>ביו-חיים</t>
  </si>
  <si>
    <t>קבוץ דברת</t>
  </si>
  <si>
    <t>פערי חישוב בגלל נקודה עשרונית</t>
  </si>
  <si>
    <t>תעריף</t>
  </si>
  <si>
    <t>סה"כ תשלום</t>
  </si>
  <si>
    <t>יקב הרי גליל- ברק וסטריש</t>
  </si>
  <si>
    <t>יקב הרי גליל</t>
  </si>
  <si>
    <t>אופק ירקוני נירים הידרופוני</t>
  </si>
  <si>
    <t>אופק ירקוני</t>
  </si>
  <si>
    <t>0547916264</t>
  </si>
  <si>
    <t>נירים</t>
  </si>
  <si>
    <t>517007297</t>
  </si>
  <si>
    <t>ירקוני תאום ויעוץ בע״נ</t>
  </si>
  <si>
    <t>gadi@yarkonic.com</t>
  </si>
  <si>
    <t>משק בזק</t>
  </si>
  <si>
    <t>גלעד רף אילניה</t>
  </si>
  <si>
    <t>גלעד רף</t>
  </si>
  <si>
    <t>0526701296</t>
  </si>
  <si>
    <t>513437475</t>
  </si>
  <si>
    <t>רף גדליהו ובניו בעמ</t>
  </si>
  <si>
    <t>giladraf11@gmail.com</t>
  </si>
  <si>
    <t>ברק וסטריש</t>
  </si>
  <si>
    <t>050-5395501</t>
  </si>
  <si>
    <t>משגב עם</t>
  </si>
  <si>
    <t>570051854</t>
  </si>
  <si>
    <t>יקב הרי גליל אחזקות אגשח בע"מ</t>
  </si>
  <si>
    <t>matamanara@gmail.com</t>
  </si>
  <si>
    <t>דוד אורן -שדה אילן-ע</t>
  </si>
  <si>
    <t>דוד אורן</t>
  </si>
  <si>
    <t>0586767574</t>
  </si>
  <si>
    <t>52845229</t>
  </si>
  <si>
    <t>david.oren2@gmail.com</t>
  </si>
  <si>
    <t>רפי מור יוסף , שדות בצל-שדה צבי</t>
  </si>
  <si>
    <t>רפי מור יוסף</t>
  </si>
  <si>
    <t>055-684-5873</t>
  </si>
  <si>
    <t>שדה צבי</t>
  </si>
  <si>
    <t>53194866</t>
  </si>
  <si>
    <t>רפאל מור יוסף</t>
  </si>
  <si>
    <t>חיים לינרס -בננה וטפיוקה -כמהין</t>
  </si>
  <si>
    <t>סה"כ לתשלום</t>
  </si>
  <si>
    <t>ערן ויין</t>
  </si>
  <si>
    <t>רמי שדה - מפעל</t>
  </si>
  <si>
    <t>חקלאי + תאריך</t>
  </si>
  <si>
    <t>גדעון לוריא</t>
  </si>
  <si>
    <t>יורם אתרוג</t>
  </si>
  <si>
    <t xml:space="preserve">רמי שדה </t>
  </si>
  <si>
    <t>מיזם חקלאי - חיוב לפי מיכל</t>
  </si>
  <si>
    <t>נחל עוז</t>
  </si>
  <si>
    <t>מיזם חקלאי  -</t>
  </si>
  <si>
    <t>סעיף תקציבי הכנסה</t>
  </si>
  <si>
    <t>64137eef-e2b5-f011-bbd2-000d3ab85edc</t>
  </si>
  <si>
    <t>יאיר טייץ קדש ברנע</t>
  </si>
  <si>
    <t>0526199844</t>
  </si>
  <si>
    <t>ניצני סיני</t>
  </si>
  <si>
    <t>קדש ברנע</t>
  </si>
  <si>
    <t>yairteitz39@gmail.com</t>
  </si>
  <si>
    <t>gal@frescofarm.co.il</t>
  </si>
  <si>
    <t>kerem@elrom.biz</t>
  </si>
  <si>
    <t>mata@biz-mg.co.il</t>
  </si>
  <si>
    <t>עמודה1</t>
  </si>
  <si>
    <t>d0117395-e6b5-f011-bbd3-000d3a6777ab</t>
  </si>
  <si>
    <t>tlpt6+BKUtPhj38fli3Y0baU+yTHaYupz0RV+Bz6SewYm7q/2RAUIxOk0ejME41x5WHacvpAYXyhN4PgVMdwWA==</t>
  </si>
  <si>
    <t>0aef66a9-e5b5-f011-bbd3-000d3a677f4c</t>
  </si>
  <si>
    <t>iHohsil0rS1+RVzqnrLB/IW8SYwoLDG/ENMrppRoixO2+xqNJzi1fpJ0vi/VPKNWIMenLspghIOEw37dYjtc3Q==</t>
  </si>
  <si>
    <t>0e4348c7-e5b5-f011-bbd3-000d3a677f4c</t>
  </si>
  <si>
    <t>6d91+MQCkWBDPaA4N6rdtW0qYOGXT+GgWJ3/k8HMjLGYIcAs8PtTtE8B7pvTtdF6IV53wVB8PKO9UUzyDBxGGg==</t>
  </si>
  <si>
    <t>אמיר סריג-מרחביה (מושב)-ע</t>
  </si>
  <si>
    <t>אמיר סריג</t>
  </si>
  <si>
    <t>0549004979</t>
  </si>
  <si>
    <t>מרחביה (מושב)</t>
  </si>
  <si>
    <t>34156331</t>
  </si>
  <si>
    <t>sarig.amir@gmail.com</t>
  </si>
  <si>
    <t>524348c7-e5b5-f011-bbd3-000d3a677f4c</t>
  </si>
  <si>
    <t>a6tQsLPITQRJtLVrq9aye5OCbhk+p5E4hiJtV/Z6CjQR9DCv4G5c33eZNo4rkJ5mln6Togzsyms3/3CeotVL5Q==</t>
  </si>
  <si>
    <t>0a9a40cd-e5b5-f011-bbd3-000d3a677f4c</t>
  </si>
  <si>
    <t>RhIUWjYsi2IxhbnAX20919h4z/Kg7zzX9GXe1vlxToJSn7YEJoVwVqFNp1COmAsCGFGqQmEjWiTBhJaidY3qRg==</t>
  </si>
  <si>
    <t>2a9a40cd-e5b5-f011-bbd3-000d3a677f4c</t>
  </si>
  <si>
    <t>yMAtmOA7SpJau9XWYVlgymoZa8Q9IIhumJqGSaWlJquifuM/wRkblRk+tvGat/0L3eJF5oDvIwQNkS+9fpcRiA==</t>
  </si>
  <si>
    <t>עמנואל רוטשילד רתמים -אא ניצנים</t>
  </si>
  <si>
    <t>עמנואל רוטשילד</t>
  </si>
  <si>
    <t>0544313949</t>
  </si>
  <si>
    <t>66136177</t>
  </si>
  <si>
    <t>emmanuel46@gmail.com</t>
  </si>
  <si>
    <t>439a40cd-e5b5-f011-bbd3-000d3a677f4c</t>
  </si>
  <si>
    <t>EsSCcU62JBGYOWUWEP09NPjwhQ/8UNiJHB6iCTFQ9Xd/CCJKvaIRYVS5iFu9p2Dn1zvpBjLcgTd4B04JVIJMbw==</t>
  </si>
  <si>
    <t>e0e338d3-e5b5-f011-bbd3-000d3a677f4c</t>
  </si>
  <si>
    <t>Ag236xFPoufQm85Y2OXUuim5Zc1M0dh4FWf4Rc+RJLMWR7z90dB6IbkDPuetVC93ri8BZosHXg6nm5mSz4FfoQ==</t>
  </si>
  <si>
    <t>שמעון חזות-גמזו- אא ניצנים</t>
  </si>
  <si>
    <t>שמעון חזות</t>
  </si>
  <si>
    <t>0507649914</t>
  </si>
  <si>
    <t>גמזו</t>
  </si>
  <si>
    <t>55023535</t>
  </si>
  <si>
    <t>פרץ שמעון</t>
  </si>
  <si>
    <t>shimonhazut@bezeqint.net</t>
  </si>
  <si>
    <t>11e438d3-e5b5-f011-bbd3-000d3a677f4c</t>
  </si>
  <si>
    <t>5BGEIwmBx+XYD6POP8wCDhxQvvybAMTDIUqk0kA/u9J7mLmG/3lFffjuWTMrY7weFygcR1fC4gKV1MqMa9XCFg==</t>
  </si>
  <si>
    <t>איתן כהן-בני ראם-אא ניצנים</t>
  </si>
  <si>
    <t>תמר הכהן</t>
  </si>
  <si>
    <t>0525665575</t>
  </si>
  <si>
    <t>בני ראם</t>
  </si>
  <si>
    <t>034925529</t>
  </si>
  <si>
    <t>איתן הכהן</t>
  </si>
  <si>
    <t>etanhac@gmail.com</t>
  </si>
  <si>
    <t>1fe538d3-e5b5-f011-bbd3-000d3a677f4c</t>
  </si>
  <si>
    <t>VUIjSUhw4sYa38UF5YImXRUwY0hg8Wlkxng/lAk0xQoj36z/em/V72OFtE6AOiSlxO1qve6FbwIPIRSDv7jyYw==</t>
  </si>
  <si>
    <t>אוה שלו -תלמי יוסף-ע</t>
  </si>
  <si>
    <t>אוה שלו</t>
  </si>
  <si>
    <t>0508789729</t>
  </si>
  <si>
    <t>540165305</t>
  </si>
  <si>
    <t>פרחי עמירן</t>
  </si>
  <si>
    <t>shaleveva@gmail.com</t>
  </si>
  <si>
    <t>757c3ce5-e5b5-f011-bbd3-000d3a677f4c</t>
  </si>
  <si>
    <t>D6+oSe2ZtseZ0ElCENxkCWLnveyV7ivR6sPmMBFjLEwYIR9cW0858JXIrFImtkR64cSsLxDN57Hr5wzUUP+AJw==</t>
  </si>
  <si>
    <t>48512003-e6b5-f011-bbd3-000d3a677f4c</t>
  </si>
  <si>
    <t>DaYMSgqELnFfqYnd0VyCpjq/MiN8ut9W9nHkTlFS2GvI41dzaxQxb5Ha7Ez7ljKKRnDbrk4JwkU9Af5NgHPCTA==</t>
  </si>
  <si>
    <t>e7a41809-e6b5-f011-bbd3-000d3a677f4c</t>
  </si>
  <si>
    <t>CBtfLanC8Sc9HGE9fGNq3TiVjs0IDcOfaRufepBK2jAfHNefk/lStXcGgG8tUTFST2z2A2LxM93Gl9kWjcPu+A==</t>
  </si>
  <si>
    <t>b11dd6d8-e7b5-f011-bbd3-000d3a677f4c</t>
  </si>
  <si>
    <t>Z2r7Uhf/fvM1yqs11f5+cNB+NT+MpVIPY5AGfodxR85S4Wfk/v3Hx/099xF0iXILAgap1LeUJ3EUMesaIcYH4A==</t>
  </si>
  <si>
    <t>b05739a9-0810-f011-9989-000d3ab01178</t>
  </si>
  <si>
    <t>t0dMkB//PHE0TfHUHQMikHAJBsxvG7LJf3ixVZgX6IRl3pWI42Gl/r3UKGA3JaNZ0KWjO6GVsX2K7y6RemfpNA==</t>
  </si>
  <si>
    <t>ענר אגיב-אבוקדו, תותים, משתלה- דקל</t>
  </si>
  <si>
    <t>ענר אגיב</t>
  </si>
  <si>
    <t>0505618173</t>
  </si>
  <si>
    <t>דקל</t>
  </si>
  <si>
    <t>36458388</t>
  </si>
  <si>
    <t>15bfea27-e4b5-f011-bbd2-000d3ab855ce</t>
  </si>
  <si>
    <t>t2CLc2usaCpKF1S+MVUDCmlgZ5669v6twuoAjh5ywdFmmyxN8hAYzXw7U+bUsbHv5zDHvKUFnmPNRFtVYa4c6w==</t>
  </si>
  <si>
    <t>07c0e439-e4b5-f011-bbd2-000d3ab855ce</t>
  </si>
  <si>
    <t>uRyiSd9QTim8smhJfyknNv4oxW8cvEQTczf4qJsjYZVx/5w5VTeaFWfh3Em9EjmRVbm0O7UCi5W7fiyLaVXWuQ==</t>
  </si>
  <si>
    <t>15c0e439-e4b5-f011-bbd2-000d3ab855ce</t>
  </si>
  <si>
    <t>qUE/+fYS4c1LdHBlSUovTPQYAPhOey8dojdTgpKNBrVR6MRBacVzTRzJdqn49dwBrbvDH0yc7MC9u9lbU+jIiA==</t>
  </si>
  <si>
    <t>יוסי אקרמן בית לחם הגלילית</t>
  </si>
  <si>
    <t>יוסי אקרמן</t>
  </si>
  <si>
    <t>0549994000</t>
  </si>
  <si>
    <t>בית לחם הגלילית</t>
  </si>
  <si>
    <t>558137667</t>
  </si>
  <si>
    <t>זמן זיתים</t>
  </si>
  <si>
    <t>yossi@ackerman.co.il</t>
  </si>
  <si>
    <t>1cc0e439-e4b5-f011-bbd2-000d3ab855ce</t>
  </si>
  <si>
    <t>Rz7iDjX4BcG9gIHPwQK5SMVakah05f9WGI4weU6VBQS2XeZ+hel8s9xaXcQKozxryo5nCl/tsT1YkxpYRdOuzg==</t>
  </si>
  <si>
    <t>5cb3e345-e4b5-f011-bbd2-000d3ab855ce</t>
  </si>
  <si>
    <t>tyotcwj2OrYbYs+hwIEDGa1DrrehuqaZ3ONxPgYG/LT0dizg0GlnViAogDkN0ASDPk4EVnNwHs/NwEeP8XCKJQ==</t>
  </si>
  <si>
    <t>936fde4b-e4b5-f011-bbd2-000d3ab855ce</t>
  </si>
  <si>
    <t>CtHbouXbg7Yu3jgXrddmoH+IY1xVc7pe8W+TFvUqoZcaBt0KQntwkjUESt5c0NujL9KEmoyztHj3IdxBcizWkg==</t>
  </si>
  <si>
    <t>c11bd951-e4b5-f011-bbd2-000d3ab855ce</t>
  </si>
  <si>
    <t>Km511RagiOKaKOZTlg+I/EIXVdKfBFh48DsoBlzXmtM+v7Fwc1zWfsgAxynvIxzxjlRF/4S09odtCNOzV5wYhw==</t>
  </si>
  <si>
    <t>ציון חיים אברהמי -שפיר-ע</t>
  </si>
  <si>
    <t>ציון חיים אברהמי</t>
  </si>
  <si>
    <t>0507386225</t>
  </si>
  <si>
    <t>71596456</t>
  </si>
  <si>
    <t>ציון אברהמי</t>
  </si>
  <si>
    <t>2342tzion@gmail.com</t>
  </si>
  <si>
    <t>9c35b575-e4b5-f011-bbd2-000d3ab855ce</t>
  </si>
  <si>
    <t>k6pBf0EVTipo+31HnrGjwiY3RO9YG6Pw86qYC7ULJm2lRqwbdjYqIhK3ftANfEts7ye2q4T7E51a9/+cy1VunA==</t>
  </si>
  <si>
    <t>c035b575-e4b5-f011-bbd2-000d3ab855ce</t>
  </si>
  <si>
    <t>u8EoSX2AbGZyU4HtAm98/4IGrndL+QToL9SVM6pDUmNDwr1UibO8enZ51PnBU6fNTfNart+wnLZfHsGHNLRifw==</t>
  </si>
  <si>
    <t>ac749e8d-e4b5-f011-bbd2-000d3ab855ce</t>
  </si>
  <si>
    <t>fbVCURZdC8jcs/mlu7BoInc95y50VeMTj/7oS/Xhhtm7ss1SRZksFf+z2uVomjBnKZrR1Loy6pDdqbHKe7qmXA==</t>
  </si>
  <si>
    <t>מוטי אלמוז כפר תבור</t>
  </si>
  <si>
    <t>מוטי אלמוז</t>
  </si>
  <si>
    <t>0529212100</t>
  </si>
  <si>
    <t>כפר תבור</t>
  </si>
  <si>
    <t>22827703</t>
  </si>
  <si>
    <t>motialmoz@gmail.com</t>
  </si>
  <si>
    <t>72b49b93-e4b5-f011-bbd2-000d3ab855ce</t>
  </si>
  <si>
    <t>w7v3jAFY5EZe6V5gckzfd8G0qQsJ1hgEYH0ArKKNxb0sADumqd1tKEm48lWgitGsvg0nvCrkCheUKS2PfgAqVg==</t>
  </si>
  <si>
    <t>12b98e9f-e4b5-f011-bbd2-000d3ab855ce</t>
  </si>
  <si>
    <t>8daKz8wpki235gOpaEbvtKXVJcK/opxaGqyoXk1NPpWJhVwjfgJ1ItQAaBFYVFz5AXkjuWK36BRvNrhSwyC0lw==</t>
  </si>
  <si>
    <t>דב מאיר חצבה</t>
  </si>
  <si>
    <t>0528616145</t>
  </si>
  <si>
    <t>53415667</t>
  </si>
  <si>
    <t>pninameir@gmail.com</t>
  </si>
  <si>
    <t>95267ab1-e4b5-f011-bbd2-000d3ab855ce</t>
  </si>
  <si>
    <t>iYmdMkIGpcZueYcGi+m2MWo8oMh8EGOiWmXpNVY0xNio4H9HMU2UeeGMIEOnbRmyi/35XRRGoku+IneylZxjLQ==</t>
  </si>
  <si>
    <t>b0c4cc64-e5b5-f011-bbd2-000d3ab855ce</t>
  </si>
  <si>
    <t>aYUOYt+GhHUnNcy2Tq85nm8RSwbq8SQffjcSIS5ZJb9H62JLXYzKRszy/x/7YaCMgXP1K2tK/wbL3amNCFtvDg==</t>
  </si>
  <si>
    <t>da8fbd70-e5b5-f011-bbd2-000d3ab855ce</t>
  </si>
  <si>
    <t>NaNk1vRKX/pfsEm1Nw8KudSVDvvqeaD4Hck3k0LQOv1ZTABQ7S7w8knNEV8Jf2PhUcO69tLmxnXeCiTDTVwWoQ==</t>
  </si>
  <si>
    <t>דותן גבר שדה בוקר</t>
  </si>
  <si>
    <t>דותן גבר</t>
  </si>
  <si>
    <t>0506231999</t>
  </si>
  <si>
    <t>שדה בוקר</t>
  </si>
  <si>
    <t>515904407</t>
  </si>
  <si>
    <t>כרם ירוחם בע"מ</t>
  </si>
  <si>
    <t>dotan271268@gmail.com</t>
  </si>
  <si>
    <t>bb59b876-e5b5-f011-bbd2-000d3ab855ce</t>
  </si>
  <si>
    <t>vP0FQ2PcfBHOjeywKbmJqpexs80JUvbykJSAB91ekl7Kc/i41Moq+9EEGGrl5u7TMOtAXfifo5Q5JlCiTQryJw==</t>
  </si>
  <si>
    <t>21c83b08-e3b5-f011-bbd2-000d3ab85a20</t>
  </si>
  <si>
    <t>Drg6dKKiUj8w7ZBOb1YvZJlJSGzJCx/vQ1J4T+OkwKXSXRyiyG39ao7FiRaJ4T5vH3Dt4QFwycYb3yEm45GLQA==</t>
  </si>
  <si>
    <t>ידידיה שרוני -שדה אילן</t>
  </si>
  <si>
    <t>ידידיה שרוני</t>
  </si>
  <si>
    <t>0522428952</t>
  </si>
  <si>
    <t>3952363</t>
  </si>
  <si>
    <t>משק שרוני</t>
  </si>
  <si>
    <t>sharoni.olive@gmail.com</t>
  </si>
  <si>
    <t>5ec83b08-e3b5-f011-bbd2-000d3ab85a20</t>
  </si>
  <si>
    <t>2xMY4gJGc5654e+nDrdnlkVB6i2JPuC2LrSMcOIQsQSLdynHnPSUmLL/LonNwrDOSbPlVn6EtBd1/mVwm6bkng==</t>
  </si>
  <si>
    <t>עמנואל רוטשילד רתמים</t>
  </si>
  <si>
    <t>b021340e-e3b5-f011-bbd2-000d3ab85a20</t>
  </si>
  <si>
    <t>i8MIVQcQGZnC6bysLH7cVaFSHjLdK9QPhkC/a5G3fC3ca1TbrmOXmYnzDvpc7/6LOeWRSM3nL2UiFXPfX7tg5Q==</t>
  </si>
  <si>
    <t>1aa12c14-e3b5-f011-bbd2-000d3ab85a20</t>
  </si>
  <si>
    <t>IaZzi7NlG551RCopk2XmW6eZiGMW7c82T3VQ8hgzQjS22suPAe4r0y2kFfcxz4KBVN7aG973H6fpN2dW4UNj4A==</t>
  </si>
  <si>
    <t>3acbd661-e3b5-f011-bbd2-000d3ab85a20</t>
  </si>
  <si>
    <t>8cATW+PgQ3xoBiUJdsgaAGFWn4gg0SRaSJLtKAqSTMzsCAJrjJy+Pe+uMwpLHWG2LpeSTqM35U7edgYSoiA0HA==</t>
  </si>
  <si>
    <t>dcdec179-e3b5-f011-bbd2-000d3ab85a20</t>
  </si>
  <si>
    <t>RZs8oboKVXtorlv6aTN9MG0CNi6+MYsa/BQNtW0MRZn32WBqzlBMy0rA0TgqBZch5kFk5qOolg7YY3m4zPpT5g==</t>
  </si>
  <si>
    <t>cbc67acd-e3b5-f011-bbd2-000d3ab85a20</t>
  </si>
  <si>
    <t>NNJvmitrBBIhwJfMbOjwpq3wg/AEL7WeYPbQXMINWCB8+Iv+FnJ6op2zT6Y81VP2V7Eyx5W3e6DHLxusC7+X6A==</t>
  </si>
  <si>
    <t>7b4f6bd9-e3b5-f011-bbd2-000d3ab85a20</t>
  </si>
  <si>
    <t>/6ivMVEcIMdMWwt7MAP162Nbd/M/MRKdJXxfG1NvgeHMipyGDglCz8BrNv0K0VJ/Sem/ABKAcnBq+/4dAb5u+w==</t>
  </si>
  <si>
    <t>שמעון חזות -גמזו-ע</t>
  </si>
  <si>
    <t>dba154eb-e3b5-f011-bbd2-000d3ab85a20</t>
  </si>
  <si>
    <t>qt+SaVbwjtRG4neUUpKPvcr1rfuOPFMtmfLtE4vrPDXmCjhZdIu0bzoif9jbo7mMpHg8BfcDS6M3YrjsAUFySg==</t>
  </si>
  <si>
    <t>אסף פרחי -שדה ניצן-ע</t>
  </si>
  <si>
    <t>אסף פרחי</t>
  </si>
  <si>
    <t>0528289622</t>
  </si>
  <si>
    <t>515814853</t>
  </si>
  <si>
    <t>משק אסף פרחי בע"מ</t>
  </si>
  <si>
    <t>farchiasaf@gmail.com</t>
  </si>
  <si>
    <t>36e4b13a-e2b5-f011-bbd2-000d3ab85edc</t>
  </si>
  <si>
    <t>PJ9nlN/9E7LPgYKcZUBRTlAkooqAHmGzdq5bVPtcsVFF2HDNsOE7YSyukO5IwEVvSj7I2hKMPdIUnA9RfSaK8A==</t>
  </si>
  <si>
    <t>2ee5b13a-e2b5-f011-bbd2-000d3ab85edc</t>
  </si>
  <si>
    <t>G8XQjr4u7NvmVXrXysS611F034BQdD7gUzgZjFYhkPIqxSgEdTCdFWapvfaszLYVsD0d7xg+QtdjDLLYUmbhGQ==</t>
  </si>
  <si>
    <t>ירדן ריקלין אילניה</t>
  </si>
  <si>
    <t>ירדן ריקלין</t>
  </si>
  <si>
    <t>0502155066</t>
  </si>
  <si>
    <t>513336560</t>
  </si>
  <si>
    <t>משק ריקלין בעמ</t>
  </si>
  <si>
    <t>riklinfarm@gmail.com</t>
  </si>
  <si>
    <t>5651c75e-e2b5-f011-bbd2-000d3ab85edc</t>
  </si>
  <si>
    <t>stThVSnp9au1ethPQ/BRGok6Kp6I/tD1aJiEChfUFRbt0vqcMg7SPHMD7KkK443f/htWDD2uCDUEpA/KFNb8AQ==</t>
  </si>
  <si>
    <t>5b5390c4-e2b5-f011-bbd2-000d3ab85edc</t>
  </si>
  <si>
    <t>cJ+xoYOUKHPLWL6g6lvm8/GhdnA+U+1thkLWJjI9KKLLCg8zLsHTBNoGWQjzxvZs8xMd/qc1jmV66ILCKfU4ZA==</t>
  </si>
  <si>
    <t>798888e3-e2b5-f011-bbd2-000d3ab85edc</t>
  </si>
  <si>
    <t>+Z2q4l8/vljyzfvQhMePXm64ZB+PjixwlMrqJphOcccbRKKltf0A6H3uqmlObiNX55OoZPoTcNKNZdtpfh60Kg==</t>
  </si>
  <si>
    <t>cQ0kbVtMWo7EJ2bjCG6EvvSihZ+os73SYF0VRk7Ifp1zvmPi+AlilR/wSIzfEBmkN08jnyuHowv4vVi3pgEWnw==</t>
  </si>
  <si>
    <t>570024976</t>
  </si>
  <si>
    <t>1d0d6bce-dd46-ef11-bfe2-002248a1ec8e</t>
  </si>
  <si>
    <t>rTgBSZCBXn1Ru4ChtVm1tR9UQWAwaFwMhrcU4c1e+lPSz9HkQ6Owfqo4dccuHnZEPgCbhN4JKK8TfcRcJ/bxPQ==</t>
  </si>
  <si>
    <t>327d63d4-dd46-ef11-bfe2-002248a1ec8e</t>
  </si>
  <si>
    <t>5c23hi1UQMVWRzyQCt6vRBX1M+kdfZHXAPuY+kz8+zr7n24hTxjLR9GO29aLqkd1nrT3FS9SXZZU20ai/WVL5g==</t>
  </si>
  <si>
    <t>ערן לוסטיגמן-עבודות בכרם יין-גבעת ישעיהו</t>
  </si>
  <si>
    <t>ערן לוסטיגמן</t>
  </si>
  <si>
    <t>0548383521</t>
  </si>
  <si>
    <t>גבעת ישעיהו</t>
  </si>
  <si>
    <t>24377251</t>
  </si>
  <si>
    <t>075354e0-dd46-ef11-bfe2-002248a1ec8e</t>
  </si>
  <si>
    <t>eo43oo6JgKVUB4uPdzS4DlpDBvdG8AL2Qlk5R0J6XeL828yfu23GVdnhR4SzSAZdLU4WFVVWZnj/0Q3V5TdCPA==</t>
  </si>
  <si>
    <t>3a5354e0-dd46-ef11-bfe2-002248a1ec8e</t>
  </si>
  <si>
    <t>ZFUOaRycGsYK45IkL4mIpAVxsOjT8GpCujb0OVM+oqFdYBdmyYw9f5n5LKv+thbBwdmKSu1eJ9qcqrg2Lcwv9w==</t>
  </si>
  <si>
    <t>חישתיל בעמ - א.ת חוף אשקלון - דרומי</t>
  </si>
  <si>
    <t>0c0811ea-7802-f111-8407-7c1e5287d271</t>
  </si>
  <si>
    <t>27v63YKkWEGsIlowfq+97iaugDw3b+57/+MwY1r6ArsYLFqPSKJkZsC+KQqbsXbX8nYmx5FVwKwp/oJ6ZYuhLg==</t>
  </si>
  <si>
    <t>ינון תלם -מטעים- נחל עוז</t>
  </si>
  <si>
    <t>ינון תלם</t>
  </si>
  <si>
    <t>כמות משובצים</t>
  </si>
  <si>
    <t>סה"ע שעות</t>
  </si>
  <si>
    <t>11-פבר</t>
  </si>
  <si>
    <t>12-פבר</t>
  </si>
  <si>
    <t>17-פבר</t>
  </si>
  <si>
    <t>25-פבר</t>
  </si>
  <si>
    <t>09-פבר</t>
  </si>
  <si>
    <t>10-פבר</t>
  </si>
  <si>
    <t>16-פבר</t>
  </si>
  <si>
    <t>23-פבר</t>
  </si>
  <si>
    <t>24-פבר</t>
  </si>
  <si>
    <t>26-פבר</t>
  </si>
  <si>
    <t>02-פבר</t>
  </si>
  <si>
    <t>03-פבר</t>
  </si>
  <si>
    <t>04-פבר</t>
  </si>
  <si>
    <t>05-פבר</t>
  </si>
  <si>
    <t>חצבה 02/26</t>
  </si>
  <si>
    <t>תבור 02/26</t>
  </si>
  <si>
    <t>ניצנים 02/26</t>
  </si>
  <si>
    <t>גולן 02/26</t>
  </si>
  <si>
    <t>אשכול 02/26</t>
  </si>
  <si>
    <t>ניצנה 02/26</t>
  </si>
  <si>
    <t>יראון 02/26</t>
  </si>
  <si>
    <t>סה"כ משובצים</t>
  </si>
  <si>
    <t>סה"כ שעות</t>
  </si>
  <si>
    <t>אביחי ארקין</t>
  </si>
  <si>
    <t>18-פבר</t>
  </si>
  <si>
    <t>19-פבר</t>
  </si>
  <si>
    <t>דני גליקסברג חוות נחל בוקר</t>
  </si>
  <si>
    <t>חוות מתנת מדבר-טללים</t>
  </si>
  <si>
    <t>יהודה - אשלים</t>
  </si>
  <si>
    <t>27-פבר</t>
  </si>
  <si>
    <t>Grand Total</t>
  </si>
  <si>
    <t>דני גליקסברג</t>
  </si>
  <si>
    <t>חוות מתנת מדבר</t>
  </si>
  <si>
    <t>ביו חיים</t>
  </si>
  <si>
    <t>יהודה</t>
  </si>
  <si>
    <t>Haim.linares@gmail.com</t>
  </si>
  <si>
    <t>סה"כ לחיוב</t>
  </si>
  <si>
    <t>אביטל שחר</t>
  </si>
  <si>
    <t>15-פבר</t>
  </si>
  <si>
    <t>נטופה</t>
  </si>
  <si>
    <t>כרמל</t>
  </si>
  <si>
    <t>ניר יפה (דוויד)</t>
  </si>
  <si>
    <t xml:space="preserve">עין דור - כרוב </t>
  </si>
  <si>
    <t>רונן מיכון - כפר תבור</t>
  </si>
  <si>
    <t xml:space="preserve">ריקלין </t>
  </si>
  <si>
    <t>סכום כולל</t>
  </si>
  <si>
    <t>ערן לוסטיגמן זליג גבעת ישעיהו</t>
  </si>
  <si>
    <t>רוני אברהמי- אא</t>
  </si>
  <si>
    <t>מיזם חקלאי - כרם</t>
  </si>
  <si>
    <t>מיזם חקלאי - כרוב</t>
  </si>
  <si>
    <t>אסף שוורץ (יראון)</t>
  </si>
  <si>
    <t>תאריך + חקלאי</t>
  </si>
  <si>
    <t>אלעזר פארן</t>
  </si>
  <si>
    <t>גדי אבישר</t>
  </si>
  <si>
    <t>גיורא שפר</t>
  </si>
  <si>
    <t>גרעין חצבה</t>
  </si>
  <si>
    <t>יד מרדכי</t>
  </si>
  <si>
    <t>יובל יונש</t>
  </si>
  <si>
    <t>ישי אבני</t>
  </si>
  <si>
    <t>לוי ברנס</t>
  </si>
  <si>
    <t>מרים נבו</t>
  </si>
  <si>
    <t>רמי שדה מפעל</t>
  </si>
  <si>
    <t>נטורזה עגבניות</t>
  </si>
  <si>
    <t>נטורזה בצל</t>
  </si>
  <si>
    <t>רונן מיכון כפר תבור</t>
  </si>
  <si>
    <t>משק ריקלין בע"מ</t>
  </si>
  <si>
    <t>מיזם חקלאי - קטיף לדולבים</t>
  </si>
  <si>
    <t>חישתיל בע"מ</t>
  </si>
  <si>
    <t>הדר בכפר</t>
  </si>
  <si>
    <t>אלית</t>
  </si>
  <si>
    <t>עבודת גמר - לא לחיוב</t>
  </si>
  <si>
    <t>מיזם חקלאי - בצל</t>
  </si>
  <si>
    <t>מיזם חקלאי - עגבניות</t>
  </si>
  <si>
    <t>משובצים</t>
  </si>
  <si>
    <t>איתמר שרעבי-גני טל</t>
  </si>
  <si>
    <t>ייטב מזור - ניר בנים</t>
  </si>
  <si>
    <t>איתמר שרעבי</t>
  </si>
  <si>
    <t>מטעים נחל עוז</t>
  </si>
  <si>
    <t>ייטב מזור</t>
  </si>
  <si>
    <t>גני טל</t>
  </si>
  <si>
    <t>יקב הרי הגליל</t>
  </si>
  <si>
    <t>מיזם חקלאי - אבוקדו</t>
  </si>
  <si>
    <t>גלעד אורן - עין דור אבוקדו</t>
  </si>
  <si>
    <t>עמודה2</t>
  </si>
  <si>
    <t>עמודה3</t>
  </si>
  <si>
    <t>rafi1234@gmail.com</t>
  </si>
  <si>
    <t>529257550</t>
  </si>
  <si>
    <t>031389943</t>
  </si>
  <si>
    <t>משק מזור</t>
  </si>
  <si>
    <t>Yitavma@hotmail.com</t>
  </si>
  <si>
    <t>57708349</t>
  </si>
  <si>
    <t>roniginun13@gmail.com</t>
  </si>
  <si>
    <t>558520672</t>
  </si>
  <si>
    <t>elazar17@gmail.com</t>
  </si>
  <si>
    <t>301714333</t>
  </si>
  <si>
    <t>gidi6581@gmail.com</t>
  </si>
  <si>
    <t>דודי לוריא</t>
  </si>
  <si>
    <t>510356876</t>
  </si>
  <si>
    <t>הגרעין בע"מ</t>
  </si>
  <si>
    <t>hazeva@hagarin.co.il</t>
  </si>
  <si>
    <t>40787582</t>
  </si>
  <si>
    <t>ishay987@gmail.com</t>
  </si>
  <si>
    <t>51244010</t>
  </si>
  <si>
    <t>בלה מאיה</t>
  </si>
  <si>
    <t>barnesslevi@gmail.com</t>
  </si>
  <si>
    <t>514569854</t>
  </si>
  <si>
    <t>משק יונש בע"מ</t>
  </si>
  <si>
    <t>yonashfarm@arava.co.il</t>
  </si>
  <si>
    <t>0528991178</t>
  </si>
  <si>
    <t>051160604</t>
  </si>
  <si>
    <t>yor@arava.co.il</t>
  </si>
  <si>
    <t>055865968</t>
  </si>
  <si>
    <t>oritvine@gmail.com</t>
  </si>
  <si>
    <t xml:space="preserve">חישתיל </t>
  </si>
  <si>
    <t>איילה</t>
  </si>
  <si>
    <t>511352718</t>
  </si>
  <si>
    <t>חישתיל עפולה (1989) בע"מ</t>
  </si>
  <si>
    <t>ayalam@hishtil.com</t>
  </si>
  <si>
    <t>39698386</t>
  </si>
  <si>
    <t>dotanziber@gmail.com</t>
  </si>
  <si>
    <t>36494714</t>
  </si>
  <si>
    <t>משק גליקסברג</t>
  </si>
  <si>
    <t>danygliksberg@gmail.com</t>
  </si>
  <si>
    <t>027207042</t>
  </si>
  <si>
    <t>מתנת מדבר</t>
  </si>
  <si>
    <t>matnat.midbar@gmail.com</t>
  </si>
  <si>
    <t>034708842</t>
  </si>
  <si>
    <t>אנטמן יהודה</t>
  </si>
  <si>
    <t>yyantm@gmail.com</t>
  </si>
  <si>
    <t>0545656312</t>
  </si>
  <si>
    <t>570063222</t>
  </si>
  <si>
    <t>יבולי נחל עוז</t>
  </si>
  <si>
    <t>moran.gds@nahaloz.co.il</t>
  </si>
  <si>
    <t>0545684103</t>
  </si>
  <si>
    <t>516302791</t>
  </si>
  <si>
    <t>הגינה של תמרי בע"מ</t>
  </si>
  <si>
    <t>itamarbashari@gmail.com</t>
  </si>
  <si>
    <t>⁦+972 54-212-2977</t>
  </si>
  <si>
    <t>052921780</t>
  </si>
  <si>
    <t>אביטל שחר כרם תשע</t>
  </si>
  <si>
    <t>Àavitalshachar1@gmail.com</t>
  </si>
  <si>
    <t>513519223</t>
  </si>
  <si>
    <t>אלקטרוניקה תמיר חץ בע״מ</t>
  </si>
  <si>
    <t>merav@agrott.co.il</t>
  </si>
  <si>
    <t>אהלן.</t>
  </si>
  <si>
    <t>דיוויד מוס</t>
  </si>
  <si>
    <t>ע.מ. 017581620</t>
  </si>
  <si>
    <t>david@shablool.biz</t>
  </si>
  <si>
    <t>017581620</t>
  </si>
  <si>
    <t>⁦+972 50-760-0822</t>
  </si>
  <si>
    <t>דויד</t>
  </si>
  <si>
    <t>ניר יפה כרם</t>
  </si>
  <si>
    <t>דויד מוס</t>
  </si>
  <si>
    <t>אלקטרוניקה תמיר חץ בע"מ</t>
  </si>
  <si>
    <t>סה"כ     76 חשבוניות</t>
  </si>
  <si>
    <t>לפי יום</t>
  </si>
  <si>
    <t>לפי תפוקה</t>
  </si>
  <si>
    <t>קבלנות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</si>
</sst>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/mm/yy"/>
    <numFmt numFmtId="165" formatCode="&quot;₪&quot;\ #,##0.00"/>
    <numFmt numFmtId="166" formatCode="0.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indexed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</font>
    <font>
      <sz val="11"/>
      <name val="Arial"/>
      <family val="2"/>
      <charset val="177"/>
      <scheme val="minor"/>
    </font>
    <font>
      <b/>
      <sz val="12"/>
      <name val="Calibri"/>
      <family val="2"/>
      <charset val="177"/>
    </font>
    <font>
      <sz val="12"/>
      <name val="Calibri"/>
      <family val="2"/>
    </font>
    <font>
      <sz val="11"/>
      <color rgb="FFC00000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b/>
      <sz val="12"/>
      <name val="Calibri"/>
      <family val="2"/>
    </font>
    <font>
      <sz val="12"/>
      <name val="Calibri"/>
      <family val="2"/>
      <charset val="177"/>
    </font>
    <font>
      <b/>
      <sz val="11"/>
      <name val="Arial"/>
      <family val="2"/>
      <scheme val="minor"/>
    </font>
    <font>
      <sz val="12"/>
      <name val="Arial"/>
      <family val="2"/>
      <charset val="177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ABF7"/>
        <bgColor indexed="64"/>
      </patternFill>
    </fill>
    <fill>
      <patternFill patternType="solid">
        <fgColor rgb="FFFBD1D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5F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62">
    <xf numFmtId="0" fontId="0" fillId="0" borderId="0" xfId="0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5" xfId="0" applyBorder="1"/>
    <xf numFmtId="0" fontId="8" fillId="0" borderId="5" xfId="0" applyFont="1" applyBorder="1"/>
    <xf numFmtId="49" fontId="0" fillId="0" borderId="0" xfId="0" applyNumberFormat="1"/>
    <xf numFmtId="22" fontId="0" fillId="0" borderId="0" xfId="0" applyNumberFormat="1"/>
    <xf numFmtId="0" fontId="0" fillId="0" borderId="5" xfId="0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/>
    <xf numFmtId="0" fontId="8" fillId="0" borderId="5" xfId="0" applyFont="1" applyBorder="1" applyAlignment="1">
      <alignment horizontal="right"/>
    </xf>
    <xf numFmtId="2" fontId="5" fillId="0" borderId="5" xfId="0" applyNumberFormat="1" applyFont="1" applyBorder="1"/>
    <xf numFmtId="2" fontId="0" fillId="0" borderId="5" xfId="0" applyNumberFormat="1" applyBorder="1"/>
    <xf numFmtId="0" fontId="12" fillId="0" borderId="5" xfId="2" applyBorder="1" applyAlignment="1">
      <alignment horizontal="right"/>
    </xf>
    <xf numFmtId="0" fontId="12" fillId="0" borderId="0" xfId="2"/>
    <xf numFmtId="0" fontId="13" fillId="22" borderId="5" xfId="0" applyFont="1" applyFill="1" applyBorder="1" applyAlignment="1">
      <alignment horizontal="center" vertical="center"/>
    </xf>
    <xf numFmtId="49" fontId="0" fillId="21" borderId="5" xfId="0" applyNumberFormat="1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12" fillId="21" borderId="5" xfId="2" applyFill="1" applyBorder="1" applyAlignment="1">
      <alignment horizontal="center"/>
    </xf>
    <xf numFmtId="49" fontId="11" fillId="21" borderId="5" xfId="0" applyNumberFormat="1" applyFont="1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0" fontId="5" fillId="5" borderId="5" xfId="0" applyFont="1" applyFill="1" applyBorder="1" applyAlignment="1">
      <alignment horizontal="right"/>
    </xf>
    <xf numFmtId="0" fontId="5" fillId="5" borderId="5" xfId="0" applyFont="1" applyFill="1" applyBorder="1"/>
    <xf numFmtId="0" fontId="0" fillId="5" borderId="5" xfId="0" applyFill="1" applyBorder="1"/>
    <xf numFmtId="2" fontId="8" fillId="0" borderId="5" xfId="0" applyNumberFormat="1" applyFont="1" applyBorder="1"/>
    <xf numFmtId="0" fontId="8" fillId="5" borderId="5" xfId="0" applyFont="1" applyFill="1" applyBorder="1"/>
    <xf numFmtId="2" fontId="8" fillId="5" borderId="5" xfId="0" applyNumberFormat="1" applyFont="1" applyFill="1" applyBorder="1"/>
    <xf numFmtId="2" fontId="5" fillId="5" borderId="5" xfId="0" applyNumberFormat="1" applyFont="1" applyFill="1" applyBorder="1"/>
    <xf numFmtId="0" fontId="0" fillId="23" borderId="5" xfId="0" applyFill="1" applyBorder="1" applyAlignment="1">
      <alignment horizontal="right"/>
    </xf>
    <xf numFmtId="0" fontId="0" fillId="23" borderId="5" xfId="0" applyFill="1" applyBorder="1"/>
    <xf numFmtId="0" fontId="5" fillId="23" borderId="5" xfId="0" applyFont="1" applyFill="1" applyBorder="1" applyAlignment="1">
      <alignment horizontal="right"/>
    </xf>
    <xf numFmtId="0" fontId="5" fillId="23" borderId="5" xfId="0" applyFont="1" applyFill="1" applyBorder="1"/>
    <xf numFmtId="2" fontId="5" fillId="23" borderId="5" xfId="0" applyNumberFormat="1" applyFont="1" applyFill="1" applyBorder="1"/>
    <xf numFmtId="0" fontId="5" fillId="3" borderId="5" xfId="0" applyFont="1" applyFill="1" applyBorder="1" applyAlignment="1">
      <alignment horizontal="right"/>
    </xf>
    <xf numFmtId="0" fontId="5" fillId="3" borderId="5" xfId="0" applyFont="1" applyFill="1" applyBorder="1"/>
    <xf numFmtId="1" fontId="5" fillId="0" borderId="5" xfId="0" applyNumberFormat="1" applyFont="1" applyBorder="1"/>
    <xf numFmtId="1" fontId="0" fillId="0" borderId="5" xfId="0" applyNumberFormat="1" applyBorder="1"/>
    <xf numFmtId="2" fontId="5" fillId="3" borderId="5" xfId="0" applyNumberFormat="1" applyFont="1" applyFill="1" applyBorder="1"/>
    <xf numFmtId="1" fontId="5" fillId="3" borderId="5" xfId="0" applyNumberFormat="1" applyFont="1" applyFill="1" applyBorder="1"/>
    <xf numFmtId="166" fontId="0" fillId="0" borderId="5" xfId="0" applyNumberFormat="1" applyBorder="1"/>
    <xf numFmtId="166" fontId="5" fillId="3" borderId="5" xfId="0" applyNumberFormat="1" applyFont="1" applyFill="1" applyBorder="1"/>
    <xf numFmtId="166" fontId="8" fillId="0" borderId="5" xfId="0" applyNumberFormat="1" applyFont="1" applyBorder="1"/>
    <xf numFmtId="0" fontId="8" fillId="3" borderId="5" xfId="0" applyFont="1" applyFill="1" applyBorder="1" applyAlignment="1">
      <alignment horizontal="right"/>
    </xf>
    <xf numFmtId="0" fontId="8" fillId="3" borderId="5" xfId="0" applyFont="1" applyFill="1" applyBorder="1"/>
    <xf numFmtId="166" fontId="8" fillId="3" borderId="5" xfId="0" applyNumberFormat="1" applyFont="1" applyFill="1" applyBorder="1"/>
    <xf numFmtId="2" fontId="8" fillId="3" borderId="5" xfId="0" applyNumberFormat="1" applyFont="1" applyFill="1" applyBorder="1"/>
    <xf numFmtId="2" fontId="0" fillId="3" borderId="0" xfId="0" applyNumberFormat="1" applyFill="1"/>
    <xf numFmtId="0" fontId="11" fillId="3" borderId="5" xfId="0" applyFont="1" applyFill="1" applyBorder="1"/>
    <xf numFmtId="14" fontId="0" fillId="0" borderId="5" xfId="0" applyNumberFormat="1" applyBorder="1" applyAlignment="1">
      <alignment horizontal="right" indent="1"/>
    </xf>
    <xf numFmtId="22" fontId="0" fillId="0" borderId="11" xfId="0" applyNumberFormat="1" applyBorder="1"/>
    <xf numFmtId="49" fontId="0" fillId="21" borderId="10" xfId="0" applyNumberFormat="1" applyFill="1" applyBorder="1" applyAlignment="1">
      <alignment horizontal="center"/>
    </xf>
    <xf numFmtId="49" fontId="14" fillId="21" borderId="10" xfId="0" applyNumberFormat="1" applyFont="1" applyFill="1" applyBorder="1" applyAlignment="1">
      <alignment horizontal="center"/>
    </xf>
    <xf numFmtId="0" fontId="13" fillId="22" borderId="5" xfId="0" applyFont="1" applyFill="1" applyBorder="1" applyAlignment="1">
      <alignment horizontal="right" vertical="center"/>
    </xf>
    <xf numFmtId="49" fontId="0" fillId="21" borderId="5" xfId="0" applyNumberFormat="1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5" xfId="0" applyNumberFormat="1" applyBorder="1"/>
    <xf numFmtId="49" fontId="0" fillId="0" borderId="5" xfId="0" applyNumberForma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49" fontId="0" fillId="21" borderId="10" xfId="0" applyNumberFormat="1" applyFill="1" applyBorder="1" applyAlignment="1">
      <alignment horizontal="right"/>
    </xf>
    <xf numFmtId="0" fontId="12" fillId="21" borderId="10" xfId="2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2" fillId="0" borderId="5" xfId="2" applyBorder="1"/>
    <xf numFmtId="49" fontId="14" fillId="21" borderId="5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4" fillId="24" borderId="0" xfId="0" applyFont="1" applyFill="1" applyAlignment="1">
      <alignment horizontal="center"/>
    </xf>
    <xf numFmtId="0" fontId="24" fillId="24" borderId="0" xfId="0" applyFont="1" applyFill="1"/>
    <xf numFmtId="0" fontId="24" fillId="24" borderId="0" xfId="0" applyFont="1" applyFill="1" applyAlignment="1">
      <alignment horizontal="right"/>
    </xf>
    <xf numFmtId="0" fontId="19" fillId="3" borderId="1" xfId="0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 vertical="center"/>
    </xf>
    <xf numFmtId="164" fontId="14" fillId="0" borderId="0" xfId="0" applyNumberFormat="1" applyFont="1" applyAlignment="1">
      <alignment horizontal="right"/>
    </xf>
    <xf numFmtId="164" fontId="14" fillId="4" borderId="0" xfId="0" applyNumberFormat="1" applyFont="1" applyFill="1"/>
    <xf numFmtId="17" fontId="14" fillId="0" borderId="0" xfId="0" applyNumberFormat="1" applyFont="1"/>
    <xf numFmtId="0" fontId="14" fillId="5" borderId="0" xfId="0" applyFont="1" applyFill="1"/>
    <xf numFmtId="0" fontId="14" fillId="0" borderId="0" xfId="0" applyFont="1" applyAlignment="1">
      <alignment horizontal="center"/>
    </xf>
    <xf numFmtId="0" fontId="14" fillId="6" borderId="0" xfId="0" applyFont="1" applyFill="1"/>
    <xf numFmtId="0" fontId="14" fillId="0" borderId="0" xfId="0" applyFont="1" applyAlignment="1">
      <alignment horizontal="right"/>
    </xf>
    <xf numFmtId="2" fontId="20" fillId="7" borderId="2" xfId="0" applyNumberFormat="1" applyFont="1" applyFill="1" applyBorder="1" applyAlignment="1">
      <alignment horizontal="right"/>
    </xf>
    <xf numFmtId="2" fontId="14" fillId="0" borderId="0" xfId="1" applyNumberFormat="1" applyFont="1" applyAlignment="1"/>
    <xf numFmtId="1" fontId="14" fillId="5" borderId="0" xfId="0" applyNumberFormat="1" applyFont="1" applyFill="1"/>
    <xf numFmtId="0" fontId="3" fillId="0" borderId="0" xfId="0" applyFont="1" applyAlignment="1">
      <alignment horizontal="right" vertical="center"/>
    </xf>
    <xf numFmtId="0" fontId="18" fillId="0" borderId="0" xfId="0" applyFont="1" applyAlignment="1">
      <alignment horizontal="center"/>
    </xf>
    <xf numFmtId="2" fontId="16" fillId="7" borderId="2" xfId="0" applyNumberFormat="1" applyFont="1" applyFill="1" applyBorder="1" applyAlignment="1">
      <alignment horizontal="right"/>
    </xf>
    <xf numFmtId="2" fontId="14" fillId="5" borderId="0" xfId="0" applyNumberFormat="1" applyFont="1" applyFill="1"/>
    <xf numFmtId="0" fontId="18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0" fillId="0" borderId="0" xfId="0" applyNumberFormat="1"/>
    <xf numFmtId="0" fontId="16" fillId="7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center" vertical="center"/>
    </xf>
    <xf numFmtId="164" fontId="14" fillId="4" borderId="4" xfId="0" applyNumberFormat="1" applyFont="1" applyFill="1" applyBorder="1"/>
    <xf numFmtId="2" fontId="14" fillId="0" borderId="0" xfId="0" applyNumberFormat="1" applyFont="1"/>
    <xf numFmtId="166" fontId="3" fillId="0" borderId="5" xfId="0" applyNumberFormat="1" applyFont="1" applyBorder="1"/>
    <xf numFmtId="0" fontId="18" fillId="3" borderId="0" xfId="0" applyFont="1" applyFill="1" applyAlignment="1">
      <alignment horizontal="center"/>
    </xf>
    <xf numFmtId="0" fontId="14" fillId="4" borderId="0" xfId="0" applyFont="1" applyFill="1"/>
    <xf numFmtId="2" fontId="14" fillId="4" borderId="0" xfId="0" applyNumberFormat="1" applyFont="1" applyFill="1"/>
    <xf numFmtId="0" fontId="2" fillId="0" borderId="0" xfId="0" applyFont="1"/>
    <xf numFmtId="0" fontId="14" fillId="0" borderId="0" xfId="0" applyFont="1" applyAlignment="1">
      <alignment horizontal="right" vertical="top"/>
    </xf>
    <xf numFmtId="164" fontId="3" fillId="2" borderId="0" xfId="1" applyNumberFormat="1" applyFont="1" applyFill="1" applyAlignment="1"/>
    <xf numFmtId="0" fontId="3" fillId="4" borderId="0" xfId="0" applyFont="1" applyFill="1"/>
    <xf numFmtId="2" fontId="3" fillId="4" borderId="0" xfId="0" applyNumberFormat="1" applyFont="1" applyFill="1"/>
    <xf numFmtId="1" fontId="16" fillId="7" borderId="2" xfId="0" applyNumberFormat="1" applyFont="1" applyFill="1" applyBorder="1" applyAlignment="1">
      <alignment horizontal="right"/>
    </xf>
    <xf numFmtId="0" fontId="18" fillId="9" borderId="0" xfId="0" applyFont="1" applyFill="1" applyAlignment="1">
      <alignment horizontal="center"/>
    </xf>
    <xf numFmtId="164" fontId="11" fillId="10" borderId="4" xfId="0" applyNumberFormat="1" applyFont="1" applyFill="1" applyBorder="1"/>
    <xf numFmtId="0" fontId="14" fillId="8" borderId="0" xfId="0" applyFont="1" applyFill="1"/>
    <xf numFmtId="1" fontId="14" fillId="8" borderId="0" xfId="0" applyNumberFormat="1" applyFont="1" applyFill="1"/>
    <xf numFmtId="2" fontId="14" fillId="8" borderId="0" xfId="0" applyNumberFormat="1" applyFont="1" applyFill="1"/>
    <xf numFmtId="0" fontId="15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164" fontId="14" fillId="11" borderId="0" xfId="0" applyNumberFormat="1" applyFont="1" applyFill="1"/>
    <xf numFmtId="2" fontId="14" fillId="0" borderId="0" xfId="1" applyNumberFormat="1" applyFont="1" applyFill="1" applyAlignment="1"/>
    <xf numFmtId="1" fontId="14" fillId="0" borderId="5" xfId="0" applyNumberFormat="1" applyFont="1" applyBorder="1" applyAlignment="1">
      <alignment horizontal="right"/>
    </xf>
    <xf numFmtId="0" fontId="14" fillId="12" borderId="0" xfId="0" applyFont="1" applyFill="1"/>
    <xf numFmtId="1" fontId="14" fillId="12" borderId="0" xfId="0" applyNumberFormat="1" applyFont="1" applyFill="1"/>
    <xf numFmtId="0" fontId="17" fillId="0" borderId="0" xfId="0" applyFont="1"/>
    <xf numFmtId="2" fontId="14" fillId="12" borderId="0" xfId="0" applyNumberFormat="1" applyFont="1" applyFill="1"/>
    <xf numFmtId="0" fontId="14" fillId="13" borderId="0" xfId="0" applyFont="1" applyFill="1"/>
    <xf numFmtId="2" fontId="14" fillId="13" borderId="0" xfId="0" applyNumberFormat="1" applyFont="1" applyFill="1"/>
    <xf numFmtId="0" fontId="14" fillId="20" borderId="0" xfId="0" applyFont="1" applyFill="1"/>
    <xf numFmtId="0" fontId="16" fillId="7" borderId="2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right"/>
    </xf>
    <xf numFmtId="0" fontId="21" fillId="0" borderId="5" xfId="0" applyFont="1" applyBorder="1"/>
    <xf numFmtId="0" fontId="22" fillId="0" borderId="5" xfId="0" applyFont="1" applyBorder="1"/>
    <xf numFmtId="0" fontId="14" fillId="0" borderId="5" xfId="0" applyFont="1" applyBorder="1"/>
    <xf numFmtId="165" fontId="23" fillId="0" borderId="9" xfId="0" applyNumberFormat="1" applyFont="1" applyBorder="1" applyAlignment="1">
      <alignment horizontal="right"/>
    </xf>
    <xf numFmtId="165" fontId="9" fillId="8" borderId="9" xfId="0" applyNumberFormat="1" applyFont="1" applyFill="1" applyBorder="1"/>
    <xf numFmtId="165" fontId="6" fillId="0" borderId="9" xfId="0" applyNumberFormat="1" applyFont="1" applyBorder="1"/>
    <xf numFmtId="0" fontId="7" fillId="14" borderId="0" xfId="0" applyFont="1" applyFill="1"/>
    <xf numFmtId="0" fontId="21" fillId="3" borderId="6" xfId="0" applyFont="1" applyFill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9" fillId="4" borderId="5" xfId="0" applyNumberFormat="1" applyFont="1" applyFill="1" applyBorder="1"/>
    <xf numFmtId="165" fontId="6" fillId="0" borderId="5" xfId="0" applyNumberFormat="1" applyFont="1" applyBorder="1"/>
    <xf numFmtId="165" fontId="23" fillId="0" borderId="5" xfId="0" applyNumberFormat="1" applyFont="1" applyBorder="1" applyAlignment="1">
      <alignment horizontal="right"/>
    </xf>
    <xf numFmtId="165" fontId="9" fillId="5" borderId="5" xfId="0" applyNumberFormat="1" applyFont="1" applyFill="1" applyBorder="1"/>
    <xf numFmtId="0" fontId="7" fillId="15" borderId="0" xfId="0" applyFont="1" applyFill="1"/>
    <xf numFmtId="165" fontId="3" fillId="0" borderId="5" xfId="0" applyNumberFormat="1" applyFont="1" applyBorder="1" applyAlignment="1">
      <alignment horizontal="right"/>
    </xf>
    <xf numFmtId="165" fontId="9" fillId="6" borderId="5" xfId="0" applyNumberFormat="1" applyFont="1" applyFill="1" applyBorder="1"/>
    <xf numFmtId="0" fontId="22" fillId="0" borderId="5" xfId="0" applyFont="1" applyBorder="1" applyAlignment="1">
      <alignment wrapText="1"/>
    </xf>
    <xf numFmtId="165" fontId="23" fillId="19" borderId="5" xfId="0" applyNumberFormat="1" applyFont="1" applyFill="1" applyBorder="1" applyAlignment="1">
      <alignment horizontal="right"/>
    </xf>
    <xf numFmtId="165" fontId="9" fillId="12" borderId="5" xfId="0" applyNumberFormat="1" applyFont="1" applyFill="1" applyBorder="1"/>
    <xf numFmtId="165" fontId="9" fillId="13" borderId="5" xfId="0" applyNumberFormat="1" applyFont="1" applyFill="1" applyBorder="1"/>
    <xf numFmtId="165" fontId="23" fillId="19" borderId="5" xfId="0" applyNumberFormat="1" applyFont="1" applyFill="1" applyBorder="1"/>
    <xf numFmtId="165" fontId="9" fillId="16" borderId="5" xfId="0" applyNumberFormat="1" applyFont="1" applyFill="1" applyBorder="1"/>
    <xf numFmtId="165" fontId="0" fillId="0" borderId="5" xfId="0" applyNumberFormat="1" applyBorder="1"/>
    <xf numFmtId="0" fontId="21" fillId="0" borderId="0" xfId="0" applyFont="1"/>
    <xf numFmtId="0" fontId="14" fillId="17" borderId="0" xfId="0" applyFont="1" applyFill="1"/>
    <xf numFmtId="165" fontId="23" fillId="17" borderId="7" xfId="0" applyNumberFormat="1" applyFont="1" applyFill="1" applyBorder="1" applyAlignment="1">
      <alignment horizontal="right"/>
    </xf>
    <xf numFmtId="0" fontId="14" fillId="3" borderId="0" xfId="0" applyFont="1" applyFill="1"/>
    <xf numFmtId="165" fontId="23" fillId="3" borderId="8" xfId="0" applyNumberFormat="1" applyFont="1" applyFill="1" applyBorder="1" applyAlignment="1">
      <alignment horizontal="right"/>
    </xf>
    <xf numFmtId="165" fontId="0" fillId="0" borderId="0" xfId="0" applyNumberFormat="1"/>
    <xf numFmtId="0" fontId="14" fillId="18" borderId="0" xfId="0" applyFont="1" applyFill="1"/>
    <xf numFmtId="165" fontId="23" fillId="18" borderId="7" xfId="0" applyNumberFormat="1" applyFont="1" applyFill="1" applyBorder="1" applyAlignment="1">
      <alignment horizontal="right"/>
    </xf>
    <xf numFmtId="2" fontId="3" fillId="0" borderId="0" xfId="0" applyNumberFormat="1" applyFont="1"/>
    <xf numFmtId="0" fontId="0" fillId="0" borderId="5" xfId="0" applyBorder="1" applyAlignment="1">
      <alignment vertical="center"/>
    </xf>
    <xf numFmtId="14" fontId="0" fillId="5" borderId="5" xfId="0" applyNumberFormat="1" applyFill="1" applyBorder="1"/>
    <xf numFmtId="14" fontId="0" fillId="0" borderId="5" xfId="0" applyNumberFormat="1" applyBorder="1"/>
    <xf numFmtId="14" fontId="8" fillId="0" borderId="5" xfId="0" applyNumberFormat="1" applyFont="1" applyBorder="1"/>
    <xf numFmtId="14" fontId="8" fillId="5" borderId="5" xfId="0" applyNumberFormat="1" applyFont="1" applyFill="1" applyBorder="1"/>
    <xf numFmtId="14" fontId="0" fillId="0" borderId="0" xfId="0" applyNumberFormat="1"/>
    <xf numFmtId="0" fontId="2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היפר-קישור" xfId="2" builtinId="8"/>
  </cellStyles>
  <dxfs count="11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2908D-BF17-4FCF-995B-CF3EEA357637}" name="Table13" displayName="Table13" ref="A1:M60" totalsRowShown="0">
  <autoFilter ref="A1:M60" xr:uid="{7C22908D-BF17-4FCF-995B-CF3EEA357637}"/>
  <tableColumns count="13">
    <tableColumn id="1" xr3:uid="{DDE08056-F9DA-42B3-86D5-312B6CDAA972}" name="(אל תשנה) משימה"/>
    <tableColumn id="2" xr3:uid="{F1E21201-60B5-4FE7-92F2-2F70B6970407}" name="(אל תשנה) בדיקת סיכום של שורה"/>
    <tableColumn id="3" xr3:uid="{FF131AE1-B011-473F-A4A8-C6D26574C2E0}" name="(אל תשנה) Modified On" dataDxfId="10"/>
    <tableColumn id="4" xr3:uid="{1434297C-4257-46DD-A566-54CD45BD196C}" name="שם" dataDxfId="9"/>
    <tableColumn id="5" xr3:uid="{D3ACE374-3524-400D-9257-6435BAADED01}" name="איש קשר ראשי" dataDxfId="8"/>
    <tableColumn id="6" xr3:uid="{6C5B1CFE-E213-4F2C-98FE-B821ACAB02BA}" name="טלפון נייד ‏(איש קשר ראשי) ‏(איש קשר)" dataDxfId="7"/>
    <tableColumn id="7" xr3:uid="{932EDB95-B910-4431-AD24-71AED44DB934}" name="יישוב" dataDxfId="6"/>
    <tableColumn id="8" xr3:uid="{82B17320-068D-4CE0-ABAA-92033C6DB9D6}" name="מס' ח.פ / סמל מוסד ‏(תיק לקוח (משק)) ‏(תיק לקוח)" dataDxfId="5"/>
    <tableColumn id="9" xr3:uid="{47EA776A-7B35-4098-A1E1-FF4F2C05E230}" name="שם לחשבונית ‏(תיק לקוח (משק)) ‏(תיק לקוח)" dataDxfId="4"/>
    <tableColumn id="10" xr3:uid="{13787389-E308-40B9-AA99-EA20D5A08DF0}" name="מייל לחשבונית ‏(תיק לקוח (משק)) ‏(תיק לקוח)" dataDxfId="3"/>
    <tableColumn id="11" xr3:uid="{A91FDA59-F5A8-4645-BAE8-869B2346AD38}" name="עמודה1" dataDxfId="2"/>
    <tableColumn id="12" xr3:uid="{6E49C650-C6E8-4EF3-9208-1A6099B7A13B}" name="עמודה2" dataDxfId="1"/>
    <tableColumn id="13" xr3:uid="{C2975A13-80A5-4E75-9261-6383B45157C7}" name="עמודה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gal@frescofarm.co.il" TargetMode="External"/><Relationship Id="rId2" Type="http://schemas.openxmlformats.org/officeDocument/2006/relationships/hyperlink" Target="mailto:mata@biz-mg.co.il" TargetMode="External"/><Relationship Id="rId1" Type="http://schemas.openxmlformats.org/officeDocument/2006/relationships/hyperlink" Target="mailto:kerem@elrom.biz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hazeva@hagarin.co.il" TargetMode="External"/><Relationship Id="rId4" Type="http://schemas.openxmlformats.org/officeDocument/2006/relationships/hyperlink" Target="mailto:yyant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B715-606D-4446-B91A-06987BBE6ECF}">
  <sheetPr>
    <pageSetUpPr fitToPage="1"/>
  </sheetPr>
  <dimension ref="A1:M166"/>
  <sheetViews>
    <sheetView rightToLeft="1" topLeftCell="A148" zoomScale="96" zoomScaleNormal="96" workbookViewId="0">
      <selection activeCell="E159" sqref="E159"/>
    </sheetView>
  </sheetViews>
  <sheetFormatPr defaultColWidth="8.59765625" defaultRowHeight="13.8" x14ac:dyDescent="0.25"/>
  <cols>
    <col min="1" max="1" width="3.296875" customWidth="1"/>
    <col min="2" max="2" width="28.796875" style="83" customWidth="1"/>
    <col min="3" max="3" width="1.796875" style="70" bestFit="1" customWidth="1"/>
    <col min="4" max="4" width="11.19921875" style="70" customWidth="1"/>
    <col min="5" max="5" width="16.59765625" style="78" customWidth="1"/>
    <col min="6" max="6" width="10.5" style="70" bestFit="1" customWidth="1"/>
    <col min="7" max="7" width="10" style="70" bestFit="1" customWidth="1"/>
    <col min="8" max="8" width="16.19921875" style="70" customWidth="1"/>
    <col min="9" max="9" width="8.59765625" style="70"/>
    <col min="10" max="10" width="15.59765625" style="70" bestFit="1" customWidth="1"/>
    <col min="11" max="11" width="14.296875" customWidth="1"/>
    <col min="12" max="12" width="15.3984375" customWidth="1"/>
    <col min="13" max="13" width="37.796875" customWidth="1"/>
    <col min="15" max="15" width="24.796875" customWidth="1"/>
    <col min="257" max="257" width="5.09765625" customWidth="1"/>
    <col min="258" max="258" width="28.796875" customWidth="1"/>
    <col min="259" max="259" width="1.796875" bestFit="1" customWidth="1"/>
    <col min="261" max="261" width="25.59765625" customWidth="1"/>
    <col min="262" max="262" width="10.5" bestFit="1" customWidth="1"/>
    <col min="263" max="263" width="10" bestFit="1" customWidth="1"/>
    <col min="264" max="264" width="14.09765625" bestFit="1" customWidth="1"/>
    <col min="265" max="265" width="4.796875" bestFit="1" customWidth="1"/>
    <col min="266" max="266" width="15.59765625" bestFit="1" customWidth="1"/>
    <col min="267" max="267" width="9.796875" customWidth="1"/>
    <col min="268" max="268" width="10.09765625" customWidth="1"/>
    <col min="269" max="269" width="37.796875" customWidth="1"/>
    <col min="271" max="271" width="24.796875" customWidth="1"/>
    <col min="513" max="513" width="5.09765625" customWidth="1"/>
    <col min="514" max="514" width="28.796875" customWidth="1"/>
    <col min="515" max="515" width="1.796875" bestFit="1" customWidth="1"/>
    <col min="517" max="517" width="25.59765625" customWidth="1"/>
    <col min="518" max="518" width="10.5" bestFit="1" customWidth="1"/>
    <col min="519" max="519" width="10" bestFit="1" customWidth="1"/>
    <col min="520" max="520" width="14.09765625" bestFit="1" customWidth="1"/>
    <col min="521" max="521" width="4.796875" bestFit="1" customWidth="1"/>
    <col min="522" max="522" width="15.59765625" bestFit="1" customWidth="1"/>
    <col min="523" max="523" width="9.796875" customWidth="1"/>
    <col min="524" max="524" width="10.09765625" customWidth="1"/>
    <col min="525" max="525" width="37.796875" customWidth="1"/>
    <col min="527" max="527" width="24.796875" customWidth="1"/>
    <col min="769" max="769" width="5.09765625" customWidth="1"/>
    <col min="770" max="770" width="28.796875" customWidth="1"/>
    <col min="771" max="771" width="1.796875" bestFit="1" customWidth="1"/>
    <col min="773" max="773" width="25.59765625" customWidth="1"/>
    <col min="774" max="774" width="10.5" bestFit="1" customWidth="1"/>
    <col min="775" max="775" width="10" bestFit="1" customWidth="1"/>
    <col min="776" max="776" width="14.09765625" bestFit="1" customWidth="1"/>
    <col min="777" max="777" width="4.796875" bestFit="1" customWidth="1"/>
    <col min="778" max="778" width="15.59765625" bestFit="1" customWidth="1"/>
    <col min="779" max="779" width="9.796875" customWidth="1"/>
    <col min="780" max="780" width="10.09765625" customWidth="1"/>
    <col min="781" max="781" width="37.796875" customWidth="1"/>
    <col min="783" max="783" width="24.796875" customWidth="1"/>
    <col min="1025" max="1025" width="5.09765625" customWidth="1"/>
    <col min="1026" max="1026" width="28.796875" customWidth="1"/>
    <col min="1027" max="1027" width="1.796875" bestFit="1" customWidth="1"/>
    <col min="1029" max="1029" width="25.59765625" customWidth="1"/>
    <col min="1030" max="1030" width="10.5" bestFit="1" customWidth="1"/>
    <col min="1031" max="1031" width="10" bestFit="1" customWidth="1"/>
    <col min="1032" max="1032" width="14.09765625" bestFit="1" customWidth="1"/>
    <col min="1033" max="1033" width="4.796875" bestFit="1" customWidth="1"/>
    <col min="1034" max="1034" width="15.59765625" bestFit="1" customWidth="1"/>
    <col min="1035" max="1035" width="9.796875" customWidth="1"/>
    <col min="1036" max="1036" width="10.09765625" customWidth="1"/>
    <col min="1037" max="1037" width="37.796875" customWidth="1"/>
    <col min="1039" max="1039" width="24.796875" customWidth="1"/>
    <col min="1281" max="1281" width="5.09765625" customWidth="1"/>
    <col min="1282" max="1282" width="28.796875" customWidth="1"/>
    <col min="1283" max="1283" width="1.796875" bestFit="1" customWidth="1"/>
    <col min="1285" max="1285" width="25.59765625" customWidth="1"/>
    <col min="1286" max="1286" width="10.5" bestFit="1" customWidth="1"/>
    <col min="1287" max="1287" width="10" bestFit="1" customWidth="1"/>
    <col min="1288" max="1288" width="14.09765625" bestFit="1" customWidth="1"/>
    <col min="1289" max="1289" width="4.796875" bestFit="1" customWidth="1"/>
    <col min="1290" max="1290" width="15.59765625" bestFit="1" customWidth="1"/>
    <col min="1291" max="1291" width="9.796875" customWidth="1"/>
    <col min="1292" max="1292" width="10.09765625" customWidth="1"/>
    <col min="1293" max="1293" width="37.796875" customWidth="1"/>
    <col min="1295" max="1295" width="24.796875" customWidth="1"/>
    <col min="1537" max="1537" width="5.09765625" customWidth="1"/>
    <col min="1538" max="1538" width="28.796875" customWidth="1"/>
    <col min="1539" max="1539" width="1.796875" bestFit="1" customWidth="1"/>
    <col min="1541" max="1541" width="25.59765625" customWidth="1"/>
    <col min="1542" max="1542" width="10.5" bestFit="1" customWidth="1"/>
    <col min="1543" max="1543" width="10" bestFit="1" customWidth="1"/>
    <col min="1544" max="1544" width="14.09765625" bestFit="1" customWidth="1"/>
    <col min="1545" max="1545" width="4.796875" bestFit="1" customWidth="1"/>
    <col min="1546" max="1546" width="15.59765625" bestFit="1" customWidth="1"/>
    <col min="1547" max="1547" width="9.796875" customWidth="1"/>
    <col min="1548" max="1548" width="10.09765625" customWidth="1"/>
    <col min="1549" max="1549" width="37.796875" customWidth="1"/>
    <col min="1551" max="1551" width="24.796875" customWidth="1"/>
    <col min="1793" max="1793" width="5.09765625" customWidth="1"/>
    <col min="1794" max="1794" width="28.796875" customWidth="1"/>
    <col min="1795" max="1795" width="1.796875" bestFit="1" customWidth="1"/>
    <col min="1797" max="1797" width="25.59765625" customWidth="1"/>
    <col min="1798" max="1798" width="10.5" bestFit="1" customWidth="1"/>
    <col min="1799" max="1799" width="10" bestFit="1" customWidth="1"/>
    <col min="1800" max="1800" width="14.09765625" bestFit="1" customWidth="1"/>
    <col min="1801" max="1801" width="4.796875" bestFit="1" customWidth="1"/>
    <col min="1802" max="1802" width="15.59765625" bestFit="1" customWidth="1"/>
    <col min="1803" max="1803" width="9.796875" customWidth="1"/>
    <col min="1804" max="1804" width="10.09765625" customWidth="1"/>
    <col min="1805" max="1805" width="37.796875" customWidth="1"/>
    <col min="1807" max="1807" width="24.796875" customWidth="1"/>
    <col min="2049" max="2049" width="5.09765625" customWidth="1"/>
    <col min="2050" max="2050" width="28.796875" customWidth="1"/>
    <col min="2051" max="2051" width="1.796875" bestFit="1" customWidth="1"/>
    <col min="2053" max="2053" width="25.59765625" customWidth="1"/>
    <col min="2054" max="2054" width="10.5" bestFit="1" customWidth="1"/>
    <col min="2055" max="2055" width="10" bestFit="1" customWidth="1"/>
    <col min="2056" max="2056" width="14.09765625" bestFit="1" customWidth="1"/>
    <col min="2057" max="2057" width="4.796875" bestFit="1" customWidth="1"/>
    <col min="2058" max="2058" width="15.59765625" bestFit="1" customWidth="1"/>
    <col min="2059" max="2059" width="9.796875" customWidth="1"/>
    <col min="2060" max="2060" width="10.09765625" customWidth="1"/>
    <col min="2061" max="2061" width="37.796875" customWidth="1"/>
    <col min="2063" max="2063" width="24.796875" customWidth="1"/>
    <col min="2305" max="2305" width="5.09765625" customWidth="1"/>
    <col min="2306" max="2306" width="28.796875" customWidth="1"/>
    <col min="2307" max="2307" width="1.796875" bestFit="1" customWidth="1"/>
    <col min="2309" max="2309" width="25.59765625" customWidth="1"/>
    <col min="2310" max="2310" width="10.5" bestFit="1" customWidth="1"/>
    <col min="2311" max="2311" width="10" bestFit="1" customWidth="1"/>
    <col min="2312" max="2312" width="14.09765625" bestFit="1" customWidth="1"/>
    <col min="2313" max="2313" width="4.796875" bestFit="1" customWidth="1"/>
    <col min="2314" max="2314" width="15.59765625" bestFit="1" customWidth="1"/>
    <col min="2315" max="2315" width="9.796875" customWidth="1"/>
    <col min="2316" max="2316" width="10.09765625" customWidth="1"/>
    <col min="2317" max="2317" width="37.796875" customWidth="1"/>
    <col min="2319" max="2319" width="24.796875" customWidth="1"/>
    <col min="2561" max="2561" width="5.09765625" customWidth="1"/>
    <col min="2562" max="2562" width="28.796875" customWidth="1"/>
    <col min="2563" max="2563" width="1.796875" bestFit="1" customWidth="1"/>
    <col min="2565" max="2565" width="25.59765625" customWidth="1"/>
    <col min="2566" max="2566" width="10.5" bestFit="1" customWidth="1"/>
    <col min="2567" max="2567" width="10" bestFit="1" customWidth="1"/>
    <col min="2568" max="2568" width="14.09765625" bestFit="1" customWidth="1"/>
    <col min="2569" max="2569" width="4.796875" bestFit="1" customWidth="1"/>
    <col min="2570" max="2570" width="15.59765625" bestFit="1" customWidth="1"/>
    <col min="2571" max="2571" width="9.796875" customWidth="1"/>
    <col min="2572" max="2572" width="10.09765625" customWidth="1"/>
    <col min="2573" max="2573" width="37.796875" customWidth="1"/>
    <col min="2575" max="2575" width="24.796875" customWidth="1"/>
    <col min="2817" max="2817" width="5.09765625" customWidth="1"/>
    <col min="2818" max="2818" width="28.796875" customWidth="1"/>
    <col min="2819" max="2819" width="1.796875" bestFit="1" customWidth="1"/>
    <col min="2821" max="2821" width="25.59765625" customWidth="1"/>
    <col min="2822" max="2822" width="10.5" bestFit="1" customWidth="1"/>
    <col min="2823" max="2823" width="10" bestFit="1" customWidth="1"/>
    <col min="2824" max="2824" width="14.09765625" bestFit="1" customWidth="1"/>
    <col min="2825" max="2825" width="4.796875" bestFit="1" customWidth="1"/>
    <col min="2826" max="2826" width="15.59765625" bestFit="1" customWidth="1"/>
    <col min="2827" max="2827" width="9.796875" customWidth="1"/>
    <col min="2828" max="2828" width="10.09765625" customWidth="1"/>
    <col min="2829" max="2829" width="37.796875" customWidth="1"/>
    <col min="2831" max="2831" width="24.796875" customWidth="1"/>
    <col min="3073" max="3073" width="5.09765625" customWidth="1"/>
    <col min="3074" max="3074" width="28.796875" customWidth="1"/>
    <col min="3075" max="3075" width="1.796875" bestFit="1" customWidth="1"/>
    <col min="3077" max="3077" width="25.59765625" customWidth="1"/>
    <col min="3078" max="3078" width="10.5" bestFit="1" customWidth="1"/>
    <col min="3079" max="3079" width="10" bestFit="1" customWidth="1"/>
    <col min="3080" max="3080" width="14.09765625" bestFit="1" customWidth="1"/>
    <col min="3081" max="3081" width="4.796875" bestFit="1" customWidth="1"/>
    <col min="3082" max="3082" width="15.59765625" bestFit="1" customWidth="1"/>
    <col min="3083" max="3083" width="9.796875" customWidth="1"/>
    <col min="3084" max="3084" width="10.09765625" customWidth="1"/>
    <col min="3085" max="3085" width="37.796875" customWidth="1"/>
    <col min="3087" max="3087" width="24.796875" customWidth="1"/>
    <col min="3329" max="3329" width="5.09765625" customWidth="1"/>
    <col min="3330" max="3330" width="28.796875" customWidth="1"/>
    <col min="3331" max="3331" width="1.796875" bestFit="1" customWidth="1"/>
    <col min="3333" max="3333" width="25.59765625" customWidth="1"/>
    <col min="3334" max="3334" width="10.5" bestFit="1" customWidth="1"/>
    <col min="3335" max="3335" width="10" bestFit="1" customWidth="1"/>
    <col min="3336" max="3336" width="14.09765625" bestFit="1" customWidth="1"/>
    <col min="3337" max="3337" width="4.796875" bestFit="1" customWidth="1"/>
    <col min="3338" max="3338" width="15.59765625" bestFit="1" customWidth="1"/>
    <col min="3339" max="3339" width="9.796875" customWidth="1"/>
    <col min="3340" max="3340" width="10.09765625" customWidth="1"/>
    <col min="3341" max="3341" width="37.796875" customWidth="1"/>
    <col min="3343" max="3343" width="24.796875" customWidth="1"/>
    <col min="3585" max="3585" width="5.09765625" customWidth="1"/>
    <col min="3586" max="3586" width="28.796875" customWidth="1"/>
    <col min="3587" max="3587" width="1.796875" bestFit="1" customWidth="1"/>
    <col min="3589" max="3589" width="25.59765625" customWidth="1"/>
    <col min="3590" max="3590" width="10.5" bestFit="1" customWidth="1"/>
    <col min="3591" max="3591" width="10" bestFit="1" customWidth="1"/>
    <col min="3592" max="3592" width="14.09765625" bestFit="1" customWidth="1"/>
    <col min="3593" max="3593" width="4.796875" bestFit="1" customWidth="1"/>
    <col min="3594" max="3594" width="15.59765625" bestFit="1" customWidth="1"/>
    <col min="3595" max="3595" width="9.796875" customWidth="1"/>
    <col min="3596" max="3596" width="10.09765625" customWidth="1"/>
    <col min="3597" max="3597" width="37.796875" customWidth="1"/>
    <col min="3599" max="3599" width="24.796875" customWidth="1"/>
    <col min="3841" max="3841" width="5.09765625" customWidth="1"/>
    <col min="3842" max="3842" width="28.796875" customWidth="1"/>
    <col min="3843" max="3843" width="1.796875" bestFit="1" customWidth="1"/>
    <col min="3845" max="3845" width="25.59765625" customWidth="1"/>
    <col min="3846" max="3846" width="10.5" bestFit="1" customWidth="1"/>
    <col min="3847" max="3847" width="10" bestFit="1" customWidth="1"/>
    <col min="3848" max="3848" width="14.09765625" bestFit="1" customWidth="1"/>
    <col min="3849" max="3849" width="4.796875" bestFit="1" customWidth="1"/>
    <col min="3850" max="3850" width="15.59765625" bestFit="1" customWidth="1"/>
    <col min="3851" max="3851" width="9.796875" customWidth="1"/>
    <col min="3852" max="3852" width="10.09765625" customWidth="1"/>
    <col min="3853" max="3853" width="37.796875" customWidth="1"/>
    <col min="3855" max="3855" width="24.796875" customWidth="1"/>
    <col min="4097" max="4097" width="5.09765625" customWidth="1"/>
    <col min="4098" max="4098" width="28.796875" customWidth="1"/>
    <col min="4099" max="4099" width="1.796875" bestFit="1" customWidth="1"/>
    <col min="4101" max="4101" width="25.59765625" customWidth="1"/>
    <col min="4102" max="4102" width="10.5" bestFit="1" customWidth="1"/>
    <col min="4103" max="4103" width="10" bestFit="1" customWidth="1"/>
    <col min="4104" max="4104" width="14.09765625" bestFit="1" customWidth="1"/>
    <col min="4105" max="4105" width="4.796875" bestFit="1" customWidth="1"/>
    <col min="4106" max="4106" width="15.59765625" bestFit="1" customWidth="1"/>
    <col min="4107" max="4107" width="9.796875" customWidth="1"/>
    <col min="4108" max="4108" width="10.09765625" customWidth="1"/>
    <col min="4109" max="4109" width="37.796875" customWidth="1"/>
    <col min="4111" max="4111" width="24.796875" customWidth="1"/>
    <col min="4353" max="4353" width="5.09765625" customWidth="1"/>
    <col min="4354" max="4354" width="28.796875" customWidth="1"/>
    <col min="4355" max="4355" width="1.796875" bestFit="1" customWidth="1"/>
    <col min="4357" max="4357" width="25.59765625" customWidth="1"/>
    <col min="4358" max="4358" width="10.5" bestFit="1" customWidth="1"/>
    <col min="4359" max="4359" width="10" bestFit="1" customWidth="1"/>
    <col min="4360" max="4360" width="14.09765625" bestFit="1" customWidth="1"/>
    <col min="4361" max="4361" width="4.796875" bestFit="1" customWidth="1"/>
    <col min="4362" max="4362" width="15.59765625" bestFit="1" customWidth="1"/>
    <col min="4363" max="4363" width="9.796875" customWidth="1"/>
    <col min="4364" max="4364" width="10.09765625" customWidth="1"/>
    <col min="4365" max="4365" width="37.796875" customWidth="1"/>
    <col min="4367" max="4367" width="24.796875" customWidth="1"/>
    <col min="4609" max="4609" width="5.09765625" customWidth="1"/>
    <col min="4610" max="4610" width="28.796875" customWidth="1"/>
    <col min="4611" max="4611" width="1.796875" bestFit="1" customWidth="1"/>
    <col min="4613" max="4613" width="25.59765625" customWidth="1"/>
    <col min="4614" max="4614" width="10.5" bestFit="1" customWidth="1"/>
    <col min="4615" max="4615" width="10" bestFit="1" customWidth="1"/>
    <col min="4616" max="4616" width="14.09765625" bestFit="1" customWidth="1"/>
    <col min="4617" max="4617" width="4.796875" bestFit="1" customWidth="1"/>
    <col min="4618" max="4618" width="15.59765625" bestFit="1" customWidth="1"/>
    <col min="4619" max="4619" width="9.796875" customWidth="1"/>
    <col min="4620" max="4620" width="10.09765625" customWidth="1"/>
    <col min="4621" max="4621" width="37.796875" customWidth="1"/>
    <col min="4623" max="4623" width="24.796875" customWidth="1"/>
    <col min="4865" max="4865" width="5.09765625" customWidth="1"/>
    <col min="4866" max="4866" width="28.796875" customWidth="1"/>
    <col min="4867" max="4867" width="1.796875" bestFit="1" customWidth="1"/>
    <col min="4869" max="4869" width="25.59765625" customWidth="1"/>
    <col min="4870" max="4870" width="10.5" bestFit="1" customWidth="1"/>
    <col min="4871" max="4871" width="10" bestFit="1" customWidth="1"/>
    <col min="4872" max="4872" width="14.09765625" bestFit="1" customWidth="1"/>
    <col min="4873" max="4873" width="4.796875" bestFit="1" customWidth="1"/>
    <col min="4874" max="4874" width="15.59765625" bestFit="1" customWidth="1"/>
    <col min="4875" max="4875" width="9.796875" customWidth="1"/>
    <col min="4876" max="4876" width="10.09765625" customWidth="1"/>
    <col min="4877" max="4877" width="37.796875" customWidth="1"/>
    <col min="4879" max="4879" width="24.796875" customWidth="1"/>
    <col min="5121" max="5121" width="5.09765625" customWidth="1"/>
    <col min="5122" max="5122" width="28.796875" customWidth="1"/>
    <col min="5123" max="5123" width="1.796875" bestFit="1" customWidth="1"/>
    <col min="5125" max="5125" width="25.59765625" customWidth="1"/>
    <col min="5126" max="5126" width="10.5" bestFit="1" customWidth="1"/>
    <col min="5127" max="5127" width="10" bestFit="1" customWidth="1"/>
    <col min="5128" max="5128" width="14.09765625" bestFit="1" customWidth="1"/>
    <col min="5129" max="5129" width="4.796875" bestFit="1" customWidth="1"/>
    <col min="5130" max="5130" width="15.59765625" bestFit="1" customWidth="1"/>
    <col min="5131" max="5131" width="9.796875" customWidth="1"/>
    <col min="5132" max="5132" width="10.09765625" customWidth="1"/>
    <col min="5133" max="5133" width="37.796875" customWidth="1"/>
    <col min="5135" max="5135" width="24.796875" customWidth="1"/>
    <col min="5377" max="5377" width="5.09765625" customWidth="1"/>
    <col min="5378" max="5378" width="28.796875" customWidth="1"/>
    <col min="5379" max="5379" width="1.796875" bestFit="1" customWidth="1"/>
    <col min="5381" max="5381" width="25.59765625" customWidth="1"/>
    <col min="5382" max="5382" width="10.5" bestFit="1" customWidth="1"/>
    <col min="5383" max="5383" width="10" bestFit="1" customWidth="1"/>
    <col min="5384" max="5384" width="14.09765625" bestFit="1" customWidth="1"/>
    <col min="5385" max="5385" width="4.796875" bestFit="1" customWidth="1"/>
    <col min="5386" max="5386" width="15.59765625" bestFit="1" customWidth="1"/>
    <col min="5387" max="5387" width="9.796875" customWidth="1"/>
    <col min="5388" max="5388" width="10.09765625" customWidth="1"/>
    <col min="5389" max="5389" width="37.796875" customWidth="1"/>
    <col min="5391" max="5391" width="24.796875" customWidth="1"/>
    <col min="5633" max="5633" width="5.09765625" customWidth="1"/>
    <col min="5634" max="5634" width="28.796875" customWidth="1"/>
    <col min="5635" max="5635" width="1.796875" bestFit="1" customWidth="1"/>
    <col min="5637" max="5637" width="25.59765625" customWidth="1"/>
    <col min="5638" max="5638" width="10.5" bestFit="1" customWidth="1"/>
    <col min="5639" max="5639" width="10" bestFit="1" customWidth="1"/>
    <col min="5640" max="5640" width="14.09765625" bestFit="1" customWidth="1"/>
    <col min="5641" max="5641" width="4.796875" bestFit="1" customWidth="1"/>
    <col min="5642" max="5642" width="15.59765625" bestFit="1" customWidth="1"/>
    <col min="5643" max="5643" width="9.796875" customWidth="1"/>
    <col min="5644" max="5644" width="10.09765625" customWidth="1"/>
    <col min="5645" max="5645" width="37.796875" customWidth="1"/>
    <col min="5647" max="5647" width="24.796875" customWidth="1"/>
    <col min="5889" max="5889" width="5.09765625" customWidth="1"/>
    <col min="5890" max="5890" width="28.796875" customWidth="1"/>
    <col min="5891" max="5891" width="1.796875" bestFit="1" customWidth="1"/>
    <col min="5893" max="5893" width="25.59765625" customWidth="1"/>
    <col min="5894" max="5894" width="10.5" bestFit="1" customWidth="1"/>
    <col min="5895" max="5895" width="10" bestFit="1" customWidth="1"/>
    <col min="5896" max="5896" width="14.09765625" bestFit="1" customWidth="1"/>
    <col min="5897" max="5897" width="4.796875" bestFit="1" customWidth="1"/>
    <col min="5898" max="5898" width="15.59765625" bestFit="1" customWidth="1"/>
    <col min="5899" max="5899" width="9.796875" customWidth="1"/>
    <col min="5900" max="5900" width="10.09765625" customWidth="1"/>
    <col min="5901" max="5901" width="37.796875" customWidth="1"/>
    <col min="5903" max="5903" width="24.796875" customWidth="1"/>
    <col min="6145" max="6145" width="5.09765625" customWidth="1"/>
    <col min="6146" max="6146" width="28.796875" customWidth="1"/>
    <col min="6147" max="6147" width="1.796875" bestFit="1" customWidth="1"/>
    <col min="6149" max="6149" width="25.59765625" customWidth="1"/>
    <col min="6150" max="6150" width="10.5" bestFit="1" customWidth="1"/>
    <col min="6151" max="6151" width="10" bestFit="1" customWidth="1"/>
    <col min="6152" max="6152" width="14.09765625" bestFit="1" customWidth="1"/>
    <col min="6153" max="6153" width="4.796875" bestFit="1" customWidth="1"/>
    <col min="6154" max="6154" width="15.59765625" bestFit="1" customWidth="1"/>
    <col min="6155" max="6155" width="9.796875" customWidth="1"/>
    <col min="6156" max="6156" width="10.09765625" customWidth="1"/>
    <col min="6157" max="6157" width="37.796875" customWidth="1"/>
    <col min="6159" max="6159" width="24.796875" customWidth="1"/>
    <col min="6401" max="6401" width="5.09765625" customWidth="1"/>
    <col min="6402" max="6402" width="28.796875" customWidth="1"/>
    <col min="6403" max="6403" width="1.796875" bestFit="1" customWidth="1"/>
    <col min="6405" max="6405" width="25.59765625" customWidth="1"/>
    <col min="6406" max="6406" width="10.5" bestFit="1" customWidth="1"/>
    <col min="6407" max="6407" width="10" bestFit="1" customWidth="1"/>
    <col min="6408" max="6408" width="14.09765625" bestFit="1" customWidth="1"/>
    <col min="6409" max="6409" width="4.796875" bestFit="1" customWidth="1"/>
    <col min="6410" max="6410" width="15.59765625" bestFit="1" customWidth="1"/>
    <col min="6411" max="6411" width="9.796875" customWidth="1"/>
    <col min="6412" max="6412" width="10.09765625" customWidth="1"/>
    <col min="6413" max="6413" width="37.796875" customWidth="1"/>
    <col min="6415" max="6415" width="24.796875" customWidth="1"/>
    <col min="6657" max="6657" width="5.09765625" customWidth="1"/>
    <col min="6658" max="6658" width="28.796875" customWidth="1"/>
    <col min="6659" max="6659" width="1.796875" bestFit="1" customWidth="1"/>
    <col min="6661" max="6661" width="25.59765625" customWidth="1"/>
    <col min="6662" max="6662" width="10.5" bestFit="1" customWidth="1"/>
    <col min="6663" max="6663" width="10" bestFit="1" customWidth="1"/>
    <col min="6664" max="6664" width="14.09765625" bestFit="1" customWidth="1"/>
    <col min="6665" max="6665" width="4.796875" bestFit="1" customWidth="1"/>
    <col min="6666" max="6666" width="15.59765625" bestFit="1" customWidth="1"/>
    <col min="6667" max="6667" width="9.796875" customWidth="1"/>
    <col min="6668" max="6668" width="10.09765625" customWidth="1"/>
    <col min="6669" max="6669" width="37.796875" customWidth="1"/>
    <col min="6671" max="6671" width="24.796875" customWidth="1"/>
    <col min="6913" max="6913" width="5.09765625" customWidth="1"/>
    <col min="6914" max="6914" width="28.796875" customWidth="1"/>
    <col min="6915" max="6915" width="1.796875" bestFit="1" customWidth="1"/>
    <col min="6917" max="6917" width="25.59765625" customWidth="1"/>
    <col min="6918" max="6918" width="10.5" bestFit="1" customWidth="1"/>
    <col min="6919" max="6919" width="10" bestFit="1" customWidth="1"/>
    <col min="6920" max="6920" width="14.09765625" bestFit="1" customWidth="1"/>
    <col min="6921" max="6921" width="4.796875" bestFit="1" customWidth="1"/>
    <col min="6922" max="6922" width="15.59765625" bestFit="1" customWidth="1"/>
    <col min="6923" max="6923" width="9.796875" customWidth="1"/>
    <col min="6924" max="6924" width="10.09765625" customWidth="1"/>
    <col min="6925" max="6925" width="37.796875" customWidth="1"/>
    <col min="6927" max="6927" width="24.796875" customWidth="1"/>
    <col min="7169" max="7169" width="5.09765625" customWidth="1"/>
    <col min="7170" max="7170" width="28.796875" customWidth="1"/>
    <col min="7171" max="7171" width="1.796875" bestFit="1" customWidth="1"/>
    <col min="7173" max="7173" width="25.59765625" customWidth="1"/>
    <col min="7174" max="7174" width="10.5" bestFit="1" customWidth="1"/>
    <col min="7175" max="7175" width="10" bestFit="1" customWidth="1"/>
    <col min="7176" max="7176" width="14.09765625" bestFit="1" customWidth="1"/>
    <col min="7177" max="7177" width="4.796875" bestFit="1" customWidth="1"/>
    <col min="7178" max="7178" width="15.59765625" bestFit="1" customWidth="1"/>
    <col min="7179" max="7179" width="9.796875" customWidth="1"/>
    <col min="7180" max="7180" width="10.09765625" customWidth="1"/>
    <col min="7181" max="7181" width="37.796875" customWidth="1"/>
    <col min="7183" max="7183" width="24.796875" customWidth="1"/>
    <col min="7425" max="7425" width="5.09765625" customWidth="1"/>
    <col min="7426" max="7426" width="28.796875" customWidth="1"/>
    <col min="7427" max="7427" width="1.796875" bestFit="1" customWidth="1"/>
    <col min="7429" max="7429" width="25.59765625" customWidth="1"/>
    <col min="7430" max="7430" width="10.5" bestFit="1" customWidth="1"/>
    <col min="7431" max="7431" width="10" bestFit="1" customWidth="1"/>
    <col min="7432" max="7432" width="14.09765625" bestFit="1" customWidth="1"/>
    <col min="7433" max="7433" width="4.796875" bestFit="1" customWidth="1"/>
    <col min="7434" max="7434" width="15.59765625" bestFit="1" customWidth="1"/>
    <col min="7435" max="7435" width="9.796875" customWidth="1"/>
    <col min="7436" max="7436" width="10.09765625" customWidth="1"/>
    <col min="7437" max="7437" width="37.796875" customWidth="1"/>
    <col min="7439" max="7439" width="24.796875" customWidth="1"/>
    <col min="7681" max="7681" width="5.09765625" customWidth="1"/>
    <col min="7682" max="7682" width="28.796875" customWidth="1"/>
    <col min="7683" max="7683" width="1.796875" bestFit="1" customWidth="1"/>
    <col min="7685" max="7685" width="25.59765625" customWidth="1"/>
    <col min="7686" max="7686" width="10.5" bestFit="1" customWidth="1"/>
    <col min="7687" max="7687" width="10" bestFit="1" customWidth="1"/>
    <col min="7688" max="7688" width="14.09765625" bestFit="1" customWidth="1"/>
    <col min="7689" max="7689" width="4.796875" bestFit="1" customWidth="1"/>
    <col min="7690" max="7690" width="15.59765625" bestFit="1" customWidth="1"/>
    <col min="7691" max="7691" width="9.796875" customWidth="1"/>
    <col min="7692" max="7692" width="10.09765625" customWidth="1"/>
    <col min="7693" max="7693" width="37.796875" customWidth="1"/>
    <col min="7695" max="7695" width="24.796875" customWidth="1"/>
    <col min="7937" max="7937" width="5.09765625" customWidth="1"/>
    <col min="7938" max="7938" width="28.796875" customWidth="1"/>
    <col min="7939" max="7939" width="1.796875" bestFit="1" customWidth="1"/>
    <col min="7941" max="7941" width="25.59765625" customWidth="1"/>
    <col min="7942" max="7942" width="10.5" bestFit="1" customWidth="1"/>
    <col min="7943" max="7943" width="10" bestFit="1" customWidth="1"/>
    <col min="7944" max="7944" width="14.09765625" bestFit="1" customWidth="1"/>
    <col min="7945" max="7945" width="4.796875" bestFit="1" customWidth="1"/>
    <col min="7946" max="7946" width="15.59765625" bestFit="1" customWidth="1"/>
    <col min="7947" max="7947" width="9.796875" customWidth="1"/>
    <col min="7948" max="7948" width="10.09765625" customWidth="1"/>
    <col min="7949" max="7949" width="37.796875" customWidth="1"/>
    <col min="7951" max="7951" width="24.796875" customWidth="1"/>
    <col min="8193" max="8193" width="5.09765625" customWidth="1"/>
    <col min="8194" max="8194" width="28.796875" customWidth="1"/>
    <col min="8195" max="8195" width="1.796875" bestFit="1" customWidth="1"/>
    <col min="8197" max="8197" width="25.59765625" customWidth="1"/>
    <col min="8198" max="8198" width="10.5" bestFit="1" customWidth="1"/>
    <col min="8199" max="8199" width="10" bestFit="1" customWidth="1"/>
    <col min="8200" max="8200" width="14.09765625" bestFit="1" customWidth="1"/>
    <col min="8201" max="8201" width="4.796875" bestFit="1" customWidth="1"/>
    <col min="8202" max="8202" width="15.59765625" bestFit="1" customWidth="1"/>
    <col min="8203" max="8203" width="9.796875" customWidth="1"/>
    <col min="8204" max="8204" width="10.09765625" customWidth="1"/>
    <col min="8205" max="8205" width="37.796875" customWidth="1"/>
    <col min="8207" max="8207" width="24.796875" customWidth="1"/>
    <col min="8449" max="8449" width="5.09765625" customWidth="1"/>
    <col min="8450" max="8450" width="28.796875" customWidth="1"/>
    <col min="8451" max="8451" width="1.796875" bestFit="1" customWidth="1"/>
    <col min="8453" max="8453" width="25.59765625" customWidth="1"/>
    <col min="8454" max="8454" width="10.5" bestFit="1" customWidth="1"/>
    <col min="8455" max="8455" width="10" bestFit="1" customWidth="1"/>
    <col min="8456" max="8456" width="14.09765625" bestFit="1" customWidth="1"/>
    <col min="8457" max="8457" width="4.796875" bestFit="1" customWidth="1"/>
    <col min="8458" max="8458" width="15.59765625" bestFit="1" customWidth="1"/>
    <col min="8459" max="8459" width="9.796875" customWidth="1"/>
    <col min="8460" max="8460" width="10.09765625" customWidth="1"/>
    <col min="8461" max="8461" width="37.796875" customWidth="1"/>
    <col min="8463" max="8463" width="24.796875" customWidth="1"/>
    <col min="8705" max="8705" width="5.09765625" customWidth="1"/>
    <col min="8706" max="8706" width="28.796875" customWidth="1"/>
    <col min="8707" max="8707" width="1.796875" bestFit="1" customWidth="1"/>
    <col min="8709" max="8709" width="25.59765625" customWidth="1"/>
    <col min="8710" max="8710" width="10.5" bestFit="1" customWidth="1"/>
    <col min="8711" max="8711" width="10" bestFit="1" customWidth="1"/>
    <col min="8712" max="8712" width="14.09765625" bestFit="1" customWidth="1"/>
    <col min="8713" max="8713" width="4.796875" bestFit="1" customWidth="1"/>
    <col min="8714" max="8714" width="15.59765625" bestFit="1" customWidth="1"/>
    <col min="8715" max="8715" width="9.796875" customWidth="1"/>
    <col min="8716" max="8716" width="10.09765625" customWidth="1"/>
    <col min="8717" max="8717" width="37.796875" customWidth="1"/>
    <col min="8719" max="8719" width="24.796875" customWidth="1"/>
    <col min="8961" max="8961" width="5.09765625" customWidth="1"/>
    <col min="8962" max="8962" width="28.796875" customWidth="1"/>
    <col min="8963" max="8963" width="1.796875" bestFit="1" customWidth="1"/>
    <col min="8965" max="8965" width="25.59765625" customWidth="1"/>
    <col min="8966" max="8966" width="10.5" bestFit="1" customWidth="1"/>
    <col min="8967" max="8967" width="10" bestFit="1" customWidth="1"/>
    <col min="8968" max="8968" width="14.09765625" bestFit="1" customWidth="1"/>
    <col min="8969" max="8969" width="4.796875" bestFit="1" customWidth="1"/>
    <col min="8970" max="8970" width="15.59765625" bestFit="1" customWidth="1"/>
    <col min="8971" max="8971" width="9.796875" customWidth="1"/>
    <col min="8972" max="8972" width="10.09765625" customWidth="1"/>
    <col min="8973" max="8973" width="37.796875" customWidth="1"/>
    <col min="8975" max="8975" width="24.796875" customWidth="1"/>
    <col min="9217" max="9217" width="5.09765625" customWidth="1"/>
    <col min="9218" max="9218" width="28.796875" customWidth="1"/>
    <col min="9219" max="9219" width="1.796875" bestFit="1" customWidth="1"/>
    <col min="9221" max="9221" width="25.59765625" customWidth="1"/>
    <col min="9222" max="9222" width="10.5" bestFit="1" customWidth="1"/>
    <col min="9223" max="9223" width="10" bestFit="1" customWidth="1"/>
    <col min="9224" max="9224" width="14.09765625" bestFit="1" customWidth="1"/>
    <col min="9225" max="9225" width="4.796875" bestFit="1" customWidth="1"/>
    <col min="9226" max="9226" width="15.59765625" bestFit="1" customWidth="1"/>
    <col min="9227" max="9227" width="9.796875" customWidth="1"/>
    <col min="9228" max="9228" width="10.09765625" customWidth="1"/>
    <col min="9229" max="9229" width="37.796875" customWidth="1"/>
    <col min="9231" max="9231" width="24.796875" customWidth="1"/>
    <col min="9473" max="9473" width="5.09765625" customWidth="1"/>
    <col min="9474" max="9474" width="28.796875" customWidth="1"/>
    <col min="9475" max="9475" width="1.796875" bestFit="1" customWidth="1"/>
    <col min="9477" max="9477" width="25.59765625" customWidth="1"/>
    <col min="9478" max="9478" width="10.5" bestFit="1" customWidth="1"/>
    <col min="9479" max="9479" width="10" bestFit="1" customWidth="1"/>
    <col min="9480" max="9480" width="14.09765625" bestFit="1" customWidth="1"/>
    <col min="9481" max="9481" width="4.796875" bestFit="1" customWidth="1"/>
    <col min="9482" max="9482" width="15.59765625" bestFit="1" customWidth="1"/>
    <col min="9483" max="9483" width="9.796875" customWidth="1"/>
    <col min="9484" max="9484" width="10.09765625" customWidth="1"/>
    <col min="9485" max="9485" width="37.796875" customWidth="1"/>
    <col min="9487" max="9487" width="24.796875" customWidth="1"/>
    <col min="9729" max="9729" width="5.09765625" customWidth="1"/>
    <col min="9730" max="9730" width="28.796875" customWidth="1"/>
    <col min="9731" max="9731" width="1.796875" bestFit="1" customWidth="1"/>
    <col min="9733" max="9733" width="25.59765625" customWidth="1"/>
    <col min="9734" max="9734" width="10.5" bestFit="1" customWidth="1"/>
    <col min="9735" max="9735" width="10" bestFit="1" customWidth="1"/>
    <col min="9736" max="9736" width="14.09765625" bestFit="1" customWidth="1"/>
    <col min="9737" max="9737" width="4.796875" bestFit="1" customWidth="1"/>
    <col min="9738" max="9738" width="15.59765625" bestFit="1" customWidth="1"/>
    <col min="9739" max="9739" width="9.796875" customWidth="1"/>
    <col min="9740" max="9740" width="10.09765625" customWidth="1"/>
    <col min="9741" max="9741" width="37.796875" customWidth="1"/>
    <col min="9743" max="9743" width="24.796875" customWidth="1"/>
    <col min="9985" max="9985" width="5.09765625" customWidth="1"/>
    <col min="9986" max="9986" width="28.796875" customWidth="1"/>
    <col min="9987" max="9987" width="1.796875" bestFit="1" customWidth="1"/>
    <col min="9989" max="9989" width="25.59765625" customWidth="1"/>
    <col min="9990" max="9990" width="10.5" bestFit="1" customWidth="1"/>
    <col min="9991" max="9991" width="10" bestFit="1" customWidth="1"/>
    <col min="9992" max="9992" width="14.09765625" bestFit="1" customWidth="1"/>
    <col min="9993" max="9993" width="4.796875" bestFit="1" customWidth="1"/>
    <col min="9994" max="9994" width="15.59765625" bestFit="1" customWidth="1"/>
    <col min="9995" max="9995" width="9.796875" customWidth="1"/>
    <col min="9996" max="9996" width="10.09765625" customWidth="1"/>
    <col min="9997" max="9997" width="37.796875" customWidth="1"/>
    <col min="9999" max="9999" width="24.796875" customWidth="1"/>
    <col min="10241" max="10241" width="5.09765625" customWidth="1"/>
    <col min="10242" max="10242" width="28.796875" customWidth="1"/>
    <col min="10243" max="10243" width="1.796875" bestFit="1" customWidth="1"/>
    <col min="10245" max="10245" width="25.59765625" customWidth="1"/>
    <col min="10246" max="10246" width="10.5" bestFit="1" customWidth="1"/>
    <col min="10247" max="10247" width="10" bestFit="1" customWidth="1"/>
    <col min="10248" max="10248" width="14.09765625" bestFit="1" customWidth="1"/>
    <col min="10249" max="10249" width="4.796875" bestFit="1" customWidth="1"/>
    <col min="10250" max="10250" width="15.59765625" bestFit="1" customWidth="1"/>
    <col min="10251" max="10251" width="9.796875" customWidth="1"/>
    <col min="10252" max="10252" width="10.09765625" customWidth="1"/>
    <col min="10253" max="10253" width="37.796875" customWidth="1"/>
    <col min="10255" max="10255" width="24.796875" customWidth="1"/>
    <col min="10497" max="10497" width="5.09765625" customWidth="1"/>
    <col min="10498" max="10498" width="28.796875" customWidth="1"/>
    <col min="10499" max="10499" width="1.796875" bestFit="1" customWidth="1"/>
    <col min="10501" max="10501" width="25.59765625" customWidth="1"/>
    <col min="10502" max="10502" width="10.5" bestFit="1" customWidth="1"/>
    <col min="10503" max="10503" width="10" bestFit="1" customWidth="1"/>
    <col min="10504" max="10504" width="14.09765625" bestFit="1" customWidth="1"/>
    <col min="10505" max="10505" width="4.796875" bestFit="1" customWidth="1"/>
    <col min="10506" max="10506" width="15.59765625" bestFit="1" customWidth="1"/>
    <col min="10507" max="10507" width="9.796875" customWidth="1"/>
    <col min="10508" max="10508" width="10.09765625" customWidth="1"/>
    <col min="10509" max="10509" width="37.796875" customWidth="1"/>
    <col min="10511" max="10511" width="24.796875" customWidth="1"/>
    <col min="10753" max="10753" width="5.09765625" customWidth="1"/>
    <col min="10754" max="10754" width="28.796875" customWidth="1"/>
    <col min="10755" max="10755" width="1.796875" bestFit="1" customWidth="1"/>
    <col min="10757" max="10757" width="25.59765625" customWidth="1"/>
    <col min="10758" max="10758" width="10.5" bestFit="1" customWidth="1"/>
    <col min="10759" max="10759" width="10" bestFit="1" customWidth="1"/>
    <col min="10760" max="10760" width="14.09765625" bestFit="1" customWidth="1"/>
    <col min="10761" max="10761" width="4.796875" bestFit="1" customWidth="1"/>
    <col min="10762" max="10762" width="15.59765625" bestFit="1" customWidth="1"/>
    <col min="10763" max="10763" width="9.796875" customWidth="1"/>
    <col min="10764" max="10764" width="10.09765625" customWidth="1"/>
    <col min="10765" max="10765" width="37.796875" customWidth="1"/>
    <col min="10767" max="10767" width="24.796875" customWidth="1"/>
    <col min="11009" max="11009" width="5.09765625" customWidth="1"/>
    <col min="11010" max="11010" width="28.796875" customWidth="1"/>
    <col min="11011" max="11011" width="1.796875" bestFit="1" customWidth="1"/>
    <col min="11013" max="11013" width="25.59765625" customWidth="1"/>
    <col min="11014" max="11014" width="10.5" bestFit="1" customWidth="1"/>
    <col min="11015" max="11015" width="10" bestFit="1" customWidth="1"/>
    <col min="11016" max="11016" width="14.09765625" bestFit="1" customWidth="1"/>
    <col min="11017" max="11017" width="4.796875" bestFit="1" customWidth="1"/>
    <col min="11018" max="11018" width="15.59765625" bestFit="1" customWidth="1"/>
    <col min="11019" max="11019" width="9.796875" customWidth="1"/>
    <col min="11020" max="11020" width="10.09765625" customWidth="1"/>
    <col min="11021" max="11021" width="37.796875" customWidth="1"/>
    <col min="11023" max="11023" width="24.796875" customWidth="1"/>
    <col min="11265" max="11265" width="5.09765625" customWidth="1"/>
    <col min="11266" max="11266" width="28.796875" customWidth="1"/>
    <col min="11267" max="11267" width="1.796875" bestFit="1" customWidth="1"/>
    <col min="11269" max="11269" width="25.59765625" customWidth="1"/>
    <col min="11270" max="11270" width="10.5" bestFit="1" customWidth="1"/>
    <col min="11271" max="11271" width="10" bestFit="1" customWidth="1"/>
    <col min="11272" max="11272" width="14.09765625" bestFit="1" customWidth="1"/>
    <col min="11273" max="11273" width="4.796875" bestFit="1" customWidth="1"/>
    <col min="11274" max="11274" width="15.59765625" bestFit="1" customWidth="1"/>
    <col min="11275" max="11275" width="9.796875" customWidth="1"/>
    <col min="11276" max="11276" width="10.09765625" customWidth="1"/>
    <col min="11277" max="11277" width="37.796875" customWidth="1"/>
    <col min="11279" max="11279" width="24.796875" customWidth="1"/>
    <col min="11521" max="11521" width="5.09765625" customWidth="1"/>
    <col min="11522" max="11522" width="28.796875" customWidth="1"/>
    <col min="11523" max="11523" width="1.796875" bestFit="1" customWidth="1"/>
    <col min="11525" max="11525" width="25.59765625" customWidth="1"/>
    <col min="11526" max="11526" width="10.5" bestFit="1" customWidth="1"/>
    <col min="11527" max="11527" width="10" bestFit="1" customWidth="1"/>
    <col min="11528" max="11528" width="14.09765625" bestFit="1" customWidth="1"/>
    <col min="11529" max="11529" width="4.796875" bestFit="1" customWidth="1"/>
    <col min="11530" max="11530" width="15.59765625" bestFit="1" customWidth="1"/>
    <col min="11531" max="11531" width="9.796875" customWidth="1"/>
    <col min="11532" max="11532" width="10.09765625" customWidth="1"/>
    <col min="11533" max="11533" width="37.796875" customWidth="1"/>
    <col min="11535" max="11535" width="24.796875" customWidth="1"/>
    <col min="11777" max="11777" width="5.09765625" customWidth="1"/>
    <col min="11778" max="11778" width="28.796875" customWidth="1"/>
    <col min="11779" max="11779" width="1.796875" bestFit="1" customWidth="1"/>
    <col min="11781" max="11781" width="25.59765625" customWidth="1"/>
    <col min="11782" max="11782" width="10.5" bestFit="1" customWidth="1"/>
    <col min="11783" max="11783" width="10" bestFit="1" customWidth="1"/>
    <col min="11784" max="11784" width="14.09765625" bestFit="1" customWidth="1"/>
    <col min="11785" max="11785" width="4.796875" bestFit="1" customWidth="1"/>
    <col min="11786" max="11786" width="15.59765625" bestFit="1" customWidth="1"/>
    <col min="11787" max="11787" width="9.796875" customWidth="1"/>
    <col min="11788" max="11788" width="10.09765625" customWidth="1"/>
    <col min="11789" max="11789" width="37.796875" customWidth="1"/>
    <col min="11791" max="11791" width="24.796875" customWidth="1"/>
    <col min="12033" max="12033" width="5.09765625" customWidth="1"/>
    <col min="12034" max="12034" width="28.796875" customWidth="1"/>
    <col min="12035" max="12035" width="1.796875" bestFit="1" customWidth="1"/>
    <col min="12037" max="12037" width="25.59765625" customWidth="1"/>
    <col min="12038" max="12038" width="10.5" bestFit="1" customWidth="1"/>
    <col min="12039" max="12039" width="10" bestFit="1" customWidth="1"/>
    <col min="12040" max="12040" width="14.09765625" bestFit="1" customWidth="1"/>
    <col min="12041" max="12041" width="4.796875" bestFit="1" customWidth="1"/>
    <col min="12042" max="12042" width="15.59765625" bestFit="1" customWidth="1"/>
    <col min="12043" max="12043" width="9.796875" customWidth="1"/>
    <col min="12044" max="12044" width="10.09765625" customWidth="1"/>
    <col min="12045" max="12045" width="37.796875" customWidth="1"/>
    <col min="12047" max="12047" width="24.796875" customWidth="1"/>
    <col min="12289" max="12289" width="5.09765625" customWidth="1"/>
    <col min="12290" max="12290" width="28.796875" customWidth="1"/>
    <col min="12291" max="12291" width="1.796875" bestFit="1" customWidth="1"/>
    <col min="12293" max="12293" width="25.59765625" customWidth="1"/>
    <col min="12294" max="12294" width="10.5" bestFit="1" customWidth="1"/>
    <col min="12295" max="12295" width="10" bestFit="1" customWidth="1"/>
    <col min="12296" max="12296" width="14.09765625" bestFit="1" customWidth="1"/>
    <col min="12297" max="12297" width="4.796875" bestFit="1" customWidth="1"/>
    <col min="12298" max="12298" width="15.59765625" bestFit="1" customWidth="1"/>
    <col min="12299" max="12299" width="9.796875" customWidth="1"/>
    <col min="12300" max="12300" width="10.09765625" customWidth="1"/>
    <col min="12301" max="12301" width="37.796875" customWidth="1"/>
    <col min="12303" max="12303" width="24.796875" customWidth="1"/>
    <col min="12545" max="12545" width="5.09765625" customWidth="1"/>
    <col min="12546" max="12546" width="28.796875" customWidth="1"/>
    <col min="12547" max="12547" width="1.796875" bestFit="1" customWidth="1"/>
    <col min="12549" max="12549" width="25.59765625" customWidth="1"/>
    <col min="12550" max="12550" width="10.5" bestFit="1" customWidth="1"/>
    <col min="12551" max="12551" width="10" bestFit="1" customWidth="1"/>
    <col min="12552" max="12552" width="14.09765625" bestFit="1" customWidth="1"/>
    <col min="12553" max="12553" width="4.796875" bestFit="1" customWidth="1"/>
    <col min="12554" max="12554" width="15.59765625" bestFit="1" customWidth="1"/>
    <col min="12555" max="12555" width="9.796875" customWidth="1"/>
    <col min="12556" max="12556" width="10.09765625" customWidth="1"/>
    <col min="12557" max="12557" width="37.796875" customWidth="1"/>
    <col min="12559" max="12559" width="24.796875" customWidth="1"/>
    <col min="12801" max="12801" width="5.09765625" customWidth="1"/>
    <col min="12802" max="12802" width="28.796875" customWidth="1"/>
    <col min="12803" max="12803" width="1.796875" bestFit="1" customWidth="1"/>
    <col min="12805" max="12805" width="25.59765625" customWidth="1"/>
    <col min="12806" max="12806" width="10.5" bestFit="1" customWidth="1"/>
    <col min="12807" max="12807" width="10" bestFit="1" customWidth="1"/>
    <col min="12808" max="12808" width="14.09765625" bestFit="1" customWidth="1"/>
    <col min="12809" max="12809" width="4.796875" bestFit="1" customWidth="1"/>
    <col min="12810" max="12810" width="15.59765625" bestFit="1" customWidth="1"/>
    <col min="12811" max="12811" width="9.796875" customWidth="1"/>
    <col min="12812" max="12812" width="10.09765625" customWidth="1"/>
    <col min="12813" max="12813" width="37.796875" customWidth="1"/>
    <col min="12815" max="12815" width="24.796875" customWidth="1"/>
    <col min="13057" max="13057" width="5.09765625" customWidth="1"/>
    <col min="13058" max="13058" width="28.796875" customWidth="1"/>
    <col min="13059" max="13059" width="1.796875" bestFit="1" customWidth="1"/>
    <col min="13061" max="13061" width="25.59765625" customWidth="1"/>
    <col min="13062" max="13062" width="10.5" bestFit="1" customWidth="1"/>
    <col min="13063" max="13063" width="10" bestFit="1" customWidth="1"/>
    <col min="13064" max="13064" width="14.09765625" bestFit="1" customWidth="1"/>
    <col min="13065" max="13065" width="4.796875" bestFit="1" customWidth="1"/>
    <col min="13066" max="13066" width="15.59765625" bestFit="1" customWidth="1"/>
    <col min="13067" max="13067" width="9.796875" customWidth="1"/>
    <col min="13068" max="13068" width="10.09765625" customWidth="1"/>
    <col min="13069" max="13069" width="37.796875" customWidth="1"/>
    <col min="13071" max="13071" width="24.796875" customWidth="1"/>
    <col min="13313" max="13313" width="5.09765625" customWidth="1"/>
    <col min="13314" max="13314" width="28.796875" customWidth="1"/>
    <col min="13315" max="13315" width="1.796875" bestFit="1" customWidth="1"/>
    <col min="13317" max="13317" width="25.59765625" customWidth="1"/>
    <col min="13318" max="13318" width="10.5" bestFit="1" customWidth="1"/>
    <col min="13319" max="13319" width="10" bestFit="1" customWidth="1"/>
    <col min="13320" max="13320" width="14.09765625" bestFit="1" customWidth="1"/>
    <col min="13321" max="13321" width="4.796875" bestFit="1" customWidth="1"/>
    <col min="13322" max="13322" width="15.59765625" bestFit="1" customWidth="1"/>
    <col min="13323" max="13323" width="9.796875" customWidth="1"/>
    <col min="13324" max="13324" width="10.09765625" customWidth="1"/>
    <col min="13325" max="13325" width="37.796875" customWidth="1"/>
    <col min="13327" max="13327" width="24.796875" customWidth="1"/>
    <col min="13569" max="13569" width="5.09765625" customWidth="1"/>
    <col min="13570" max="13570" width="28.796875" customWidth="1"/>
    <col min="13571" max="13571" width="1.796875" bestFit="1" customWidth="1"/>
    <col min="13573" max="13573" width="25.59765625" customWidth="1"/>
    <col min="13574" max="13574" width="10.5" bestFit="1" customWidth="1"/>
    <col min="13575" max="13575" width="10" bestFit="1" customWidth="1"/>
    <col min="13576" max="13576" width="14.09765625" bestFit="1" customWidth="1"/>
    <col min="13577" max="13577" width="4.796875" bestFit="1" customWidth="1"/>
    <col min="13578" max="13578" width="15.59765625" bestFit="1" customWidth="1"/>
    <col min="13579" max="13579" width="9.796875" customWidth="1"/>
    <col min="13580" max="13580" width="10.09765625" customWidth="1"/>
    <col min="13581" max="13581" width="37.796875" customWidth="1"/>
    <col min="13583" max="13583" width="24.796875" customWidth="1"/>
    <col min="13825" max="13825" width="5.09765625" customWidth="1"/>
    <col min="13826" max="13826" width="28.796875" customWidth="1"/>
    <col min="13827" max="13827" width="1.796875" bestFit="1" customWidth="1"/>
    <col min="13829" max="13829" width="25.59765625" customWidth="1"/>
    <col min="13830" max="13830" width="10.5" bestFit="1" customWidth="1"/>
    <col min="13831" max="13831" width="10" bestFit="1" customWidth="1"/>
    <col min="13832" max="13832" width="14.09765625" bestFit="1" customWidth="1"/>
    <col min="13833" max="13833" width="4.796875" bestFit="1" customWidth="1"/>
    <col min="13834" max="13834" width="15.59765625" bestFit="1" customWidth="1"/>
    <col min="13835" max="13835" width="9.796875" customWidth="1"/>
    <col min="13836" max="13836" width="10.09765625" customWidth="1"/>
    <col min="13837" max="13837" width="37.796875" customWidth="1"/>
    <col min="13839" max="13839" width="24.796875" customWidth="1"/>
    <col min="14081" max="14081" width="5.09765625" customWidth="1"/>
    <col min="14082" max="14082" width="28.796875" customWidth="1"/>
    <col min="14083" max="14083" width="1.796875" bestFit="1" customWidth="1"/>
    <col min="14085" max="14085" width="25.59765625" customWidth="1"/>
    <col min="14086" max="14086" width="10.5" bestFit="1" customWidth="1"/>
    <col min="14087" max="14087" width="10" bestFit="1" customWidth="1"/>
    <col min="14088" max="14088" width="14.09765625" bestFit="1" customWidth="1"/>
    <col min="14089" max="14089" width="4.796875" bestFit="1" customWidth="1"/>
    <col min="14090" max="14090" width="15.59765625" bestFit="1" customWidth="1"/>
    <col min="14091" max="14091" width="9.796875" customWidth="1"/>
    <col min="14092" max="14092" width="10.09765625" customWidth="1"/>
    <col min="14093" max="14093" width="37.796875" customWidth="1"/>
    <col min="14095" max="14095" width="24.796875" customWidth="1"/>
    <col min="14337" max="14337" width="5.09765625" customWidth="1"/>
    <col min="14338" max="14338" width="28.796875" customWidth="1"/>
    <col min="14339" max="14339" width="1.796875" bestFit="1" customWidth="1"/>
    <col min="14341" max="14341" width="25.59765625" customWidth="1"/>
    <col min="14342" max="14342" width="10.5" bestFit="1" customWidth="1"/>
    <col min="14343" max="14343" width="10" bestFit="1" customWidth="1"/>
    <col min="14344" max="14344" width="14.09765625" bestFit="1" customWidth="1"/>
    <col min="14345" max="14345" width="4.796875" bestFit="1" customWidth="1"/>
    <col min="14346" max="14346" width="15.59765625" bestFit="1" customWidth="1"/>
    <col min="14347" max="14347" width="9.796875" customWidth="1"/>
    <col min="14348" max="14348" width="10.09765625" customWidth="1"/>
    <col min="14349" max="14349" width="37.796875" customWidth="1"/>
    <col min="14351" max="14351" width="24.796875" customWidth="1"/>
    <col min="14593" max="14593" width="5.09765625" customWidth="1"/>
    <col min="14594" max="14594" width="28.796875" customWidth="1"/>
    <col min="14595" max="14595" width="1.796875" bestFit="1" customWidth="1"/>
    <col min="14597" max="14597" width="25.59765625" customWidth="1"/>
    <col min="14598" max="14598" width="10.5" bestFit="1" customWidth="1"/>
    <col min="14599" max="14599" width="10" bestFit="1" customWidth="1"/>
    <col min="14600" max="14600" width="14.09765625" bestFit="1" customWidth="1"/>
    <col min="14601" max="14601" width="4.796875" bestFit="1" customWidth="1"/>
    <col min="14602" max="14602" width="15.59765625" bestFit="1" customWidth="1"/>
    <col min="14603" max="14603" width="9.796875" customWidth="1"/>
    <col min="14604" max="14604" width="10.09765625" customWidth="1"/>
    <col min="14605" max="14605" width="37.796875" customWidth="1"/>
    <col min="14607" max="14607" width="24.796875" customWidth="1"/>
    <col min="14849" max="14849" width="5.09765625" customWidth="1"/>
    <col min="14850" max="14850" width="28.796875" customWidth="1"/>
    <col min="14851" max="14851" width="1.796875" bestFit="1" customWidth="1"/>
    <col min="14853" max="14853" width="25.59765625" customWidth="1"/>
    <col min="14854" max="14854" width="10.5" bestFit="1" customWidth="1"/>
    <col min="14855" max="14855" width="10" bestFit="1" customWidth="1"/>
    <col min="14856" max="14856" width="14.09765625" bestFit="1" customWidth="1"/>
    <col min="14857" max="14857" width="4.796875" bestFit="1" customWidth="1"/>
    <col min="14858" max="14858" width="15.59765625" bestFit="1" customWidth="1"/>
    <col min="14859" max="14859" width="9.796875" customWidth="1"/>
    <col min="14860" max="14860" width="10.09765625" customWidth="1"/>
    <col min="14861" max="14861" width="37.796875" customWidth="1"/>
    <col min="14863" max="14863" width="24.796875" customWidth="1"/>
    <col min="15105" max="15105" width="5.09765625" customWidth="1"/>
    <col min="15106" max="15106" width="28.796875" customWidth="1"/>
    <col min="15107" max="15107" width="1.796875" bestFit="1" customWidth="1"/>
    <col min="15109" max="15109" width="25.59765625" customWidth="1"/>
    <col min="15110" max="15110" width="10.5" bestFit="1" customWidth="1"/>
    <col min="15111" max="15111" width="10" bestFit="1" customWidth="1"/>
    <col min="15112" max="15112" width="14.09765625" bestFit="1" customWidth="1"/>
    <col min="15113" max="15113" width="4.796875" bestFit="1" customWidth="1"/>
    <col min="15114" max="15114" width="15.59765625" bestFit="1" customWidth="1"/>
    <col min="15115" max="15115" width="9.796875" customWidth="1"/>
    <col min="15116" max="15116" width="10.09765625" customWidth="1"/>
    <col min="15117" max="15117" width="37.796875" customWidth="1"/>
    <col min="15119" max="15119" width="24.796875" customWidth="1"/>
    <col min="15361" max="15361" width="5.09765625" customWidth="1"/>
    <col min="15362" max="15362" width="28.796875" customWidth="1"/>
    <col min="15363" max="15363" width="1.796875" bestFit="1" customWidth="1"/>
    <col min="15365" max="15365" width="25.59765625" customWidth="1"/>
    <col min="15366" max="15366" width="10.5" bestFit="1" customWidth="1"/>
    <col min="15367" max="15367" width="10" bestFit="1" customWidth="1"/>
    <col min="15368" max="15368" width="14.09765625" bestFit="1" customWidth="1"/>
    <col min="15369" max="15369" width="4.796875" bestFit="1" customWidth="1"/>
    <col min="15370" max="15370" width="15.59765625" bestFit="1" customWidth="1"/>
    <col min="15371" max="15371" width="9.796875" customWidth="1"/>
    <col min="15372" max="15372" width="10.09765625" customWidth="1"/>
    <col min="15373" max="15373" width="37.796875" customWidth="1"/>
    <col min="15375" max="15375" width="24.796875" customWidth="1"/>
    <col min="15617" max="15617" width="5.09765625" customWidth="1"/>
    <col min="15618" max="15618" width="28.796875" customWidth="1"/>
    <col min="15619" max="15619" width="1.796875" bestFit="1" customWidth="1"/>
    <col min="15621" max="15621" width="25.59765625" customWidth="1"/>
    <col min="15622" max="15622" width="10.5" bestFit="1" customWidth="1"/>
    <col min="15623" max="15623" width="10" bestFit="1" customWidth="1"/>
    <col min="15624" max="15624" width="14.09765625" bestFit="1" customWidth="1"/>
    <col min="15625" max="15625" width="4.796875" bestFit="1" customWidth="1"/>
    <col min="15626" max="15626" width="15.59765625" bestFit="1" customWidth="1"/>
    <col min="15627" max="15627" width="9.796875" customWidth="1"/>
    <col min="15628" max="15628" width="10.09765625" customWidth="1"/>
    <col min="15629" max="15629" width="37.796875" customWidth="1"/>
    <col min="15631" max="15631" width="24.796875" customWidth="1"/>
    <col min="15873" max="15873" width="5.09765625" customWidth="1"/>
    <col min="15874" max="15874" width="28.796875" customWidth="1"/>
    <col min="15875" max="15875" width="1.796875" bestFit="1" customWidth="1"/>
    <col min="15877" max="15877" width="25.59765625" customWidth="1"/>
    <col min="15878" max="15878" width="10.5" bestFit="1" customWidth="1"/>
    <col min="15879" max="15879" width="10" bestFit="1" customWidth="1"/>
    <col min="15880" max="15880" width="14.09765625" bestFit="1" customWidth="1"/>
    <col min="15881" max="15881" width="4.796875" bestFit="1" customWidth="1"/>
    <col min="15882" max="15882" width="15.59765625" bestFit="1" customWidth="1"/>
    <col min="15883" max="15883" width="9.796875" customWidth="1"/>
    <col min="15884" max="15884" width="10.09765625" customWidth="1"/>
    <col min="15885" max="15885" width="37.796875" customWidth="1"/>
    <col min="15887" max="15887" width="24.796875" customWidth="1"/>
    <col min="16129" max="16129" width="5.09765625" customWidth="1"/>
    <col min="16130" max="16130" width="28.796875" customWidth="1"/>
    <col min="16131" max="16131" width="1.796875" bestFit="1" customWidth="1"/>
    <col min="16133" max="16133" width="25.59765625" customWidth="1"/>
    <col min="16134" max="16134" width="10.5" bestFit="1" customWidth="1"/>
    <col min="16135" max="16135" width="10" bestFit="1" customWidth="1"/>
    <col min="16136" max="16136" width="14.09765625" bestFit="1" customWidth="1"/>
    <col min="16137" max="16137" width="4.796875" bestFit="1" customWidth="1"/>
    <col min="16138" max="16138" width="15.59765625" bestFit="1" customWidth="1"/>
    <col min="16139" max="16139" width="9.796875" customWidth="1"/>
    <col min="16140" max="16140" width="10.09765625" customWidth="1"/>
    <col min="16141" max="16141" width="37.796875" customWidth="1"/>
    <col min="16143" max="16143" width="24.796875" customWidth="1"/>
  </cols>
  <sheetData>
    <row r="1" spans="1:12" ht="15.6" x14ac:dyDescent="0.3">
      <c r="B1" s="66" t="s">
        <v>0</v>
      </c>
      <c r="C1" s="67"/>
      <c r="D1" s="67" t="s">
        <v>1</v>
      </c>
      <c r="E1" s="68" t="s">
        <v>2</v>
      </c>
      <c r="F1" s="67" t="s">
        <v>3</v>
      </c>
      <c r="G1" s="67" t="s">
        <v>4</v>
      </c>
      <c r="H1" s="67" t="s">
        <v>269</v>
      </c>
      <c r="I1" s="67"/>
      <c r="J1" s="67" t="s">
        <v>5</v>
      </c>
    </row>
    <row r="2" spans="1:12" ht="15.6" x14ac:dyDescent="0.3">
      <c r="A2">
        <v>1</v>
      </c>
      <c r="B2" s="69" t="s">
        <v>263</v>
      </c>
      <c r="C2" s="70">
        <v>1</v>
      </c>
      <c r="D2" s="71"/>
      <c r="E2" s="72">
        <v>46081</v>
      </c>
      <c r="F2" s="73" t="s">
        <v>7</v>
      </c>
      <c r="G2" s="74" t="s">
        <v>492</v>
      </c>
      <c r="J2" s="75"/>
    </row>
    <row r="3" spans="1:12" ht="15.6" x14ac:dyDescent="0.3">
      <c r="B3" s="76"/>
      <c r="C3" s="77">
        <v>2</v>
      </c>
      <c r="D3" s="77">
        <v>0</v>
      </c>
      <c r="E3" s="78" t="s">
        <v>10</v>
      </c>
      <c r="F3" s="79">
        <v>33.250000000000007</v>
      </c>
      <c r="G3" s="80">
        <v>35</v>
      </c>
      <c r="H3" s="70" t="s">
        <v>8</v>
      </c>
      <c r="I3" s="70">
        <v>6203</v>
      </c>
      <c r="J3" s="81">
        <f>F3*G3</f>
        <v>1163.7500000000002</v>
      </c>
    </row>
    <row r="4" spans="1:12" ht="15.6" x14ac:dyDescent="0.3">
      <c r="A4">
        <v>2</v>
      </c>
      <c r="B4" s="69" t="s">
        <v>547</v>
      </c>
      <c r="C4" s="70">
        <v>1</v>
      </c>
      <c r="D4" s="82"/>
      <c r="E4" s="72">
        <v>46081</v>
      </c>
      <c r="F4" s="73" t="s">
        <v>7</v>
      </c>
      <c r="G4" s="74" t="s">
        <v>492</v>
      </c>
      <c r="J4" s="75"/>
    </row>
    <row r="5" spans="1:12" ht="15.6" x14ac:dyDescent="0.3">
      <c r="C5" s="77">
        <v>2</v>
      </c>
      <c r="D5" s="77">
        <v>0</v>
      </c>
      <c r="E5" s="78" t="s">
        <v>9</v>
      </c>
      <c r="F5" s="84">
        <v>80.416666678793263</v>
      </c>
      <c r="G5" s="80">
        <v>35</v>
      </c>
      <c r="H5" s="70" t="s">
        <v>8</v>
      </c>
      <c r="I5" s="70">
        <v>6203</v>
      </c>
      <c r="J5" s="85">
        <f>F5*G5</f>
        <v>2814.5833337577642</v>
      </c>
    </row>
    <row r="6" spans="1:12" x14ac:dyDescent="0.25">
      <c r="A6">
        <v>3</v>
      </c>
      <c r="B6" s="86" t="s">
        <v>17</v>
      </c>
      <c r="C6" s="70">
        <v>1</v>
      </c>
      <c r="D6" s="82"/>
      <c r="E6" s="72">
        <v>46081</v>
      </c>
      <c r="F6" s="73" t="s">
        <v>7</v>
      </c>
      <c r="G6" s="74" t="s">
        <v>492</v>
      </c>
      <c r="J6" s="75"/>
    </row>
    <row r="7" spans="1:12" ht="15.6" x14ac:dyDescent="0.3">
      <c r="B7" s="87"/>
      <c r="C7" s="77">
        <v>2</v>
      </c>
      <c r="D7" s="77">
        <v>0</v>
      </c>
      <c r="E7" s="72" t="s">
        <v>12</v>
      </c>
      <c r="F7" s="84">
        <v>27.666666666666668</v>
      </c>
      <c r="G7" s="80">
        <v>35</v>
      </c>
      <c r="H7" s="70" t="s">
        <v>8</v>
      </c>
      <c r="I7" s="70">
        <v>6203</v>
      </c>
      <c r="J7" s="85">
        <f>F7*G7</f>
        <v>968.33333333333337</v>
      </c>
      <c r="K7" s="88"/>
      <c r="L7" s="88"/>
    </row>
    <row r="8" spans="1:12" x14ac:dyDescent="0.25">
      <c r="A8">
        <v>6</v>
      </c>
      <c r="B8" s="86" t="s">
        <v>13</v>
      </c>
      <c r="C8" s="70">
        <v>1</v>
      </c>
      <c r="D8" s="82"/>
      <c r="E8" s="72">
        <v>46081</v>
      </c>
      <c r="F8" s="73" t="s">
        <v>7</v>
      </c>
      <c r="G8" s="74" t="s">
        <v>492</v>
      </c>
      <c r="J8" s="75"/>
    </row>
    <row r="9" spans="1:12" ht="15.6" x14ac:dyDescent="0.3">
      <c r="B9" s="87"/>
      <c r="C9" s="77">
        <v>2</v>
      </c>
      <c r="D9" s="77">
        <v>0</v>
      </c>
      <c r="E9" s="72" t="s">
        <v>10</v>
      </c>
      <c r="F9" s="84">
        <v>300.63333333120676</v>
      </c>
      <c r="G9" s="80">
        <v>35</v>
      </c>
      <c r="H9" s="70" t="s">
        <v>8</v>
      </c>
      <c r="I9" s="70">
        <v>6203</v>
      </c>
      <c r="J9" s="85">
        <f>F9*G9</f>
        <v>10522.166666592237</v>
      </c>
      <c r="K9" s="88"/>
      <c r="L9" s="88"/>
    </row>
    <row r="10" spans="1:12" x14ac:dyDescent="0.25">
      <c r="A10">
        <v>7</v>
      </c>
      <c r="B10" s="86" t="s">
        <v>14</v>
      </c>
      <c r="C10" s="70">
        <v>1</v>
      </c>
      <c r="D10" s="82"/>
      <c r="E10" s="72">
        <v>46081</v>
      </c>
      <c r="F10" s="73" t="s">
        <v>7</v>
      </c>
      <c r="G10" s="74" t="s">
        <v>492</v>
      </c>
      <c r="J10" s="75"/>
    </row>
    <row r="11" spans="1:12" ht="15.6" x14ac:dyDescent="0.3">
      <c r="B11" s="87"/>
      <c r="C11" s="77">
        <v>2</v>
      </c>
      <c r="D11" s="77">
        <v>0</v>
      </c>
      <c r="E11" s="72" t="s">
        <v>10</v>
      </c>
      <c r="F11" s="89">
        <v>455.99999999965075</v>
      </c>
      <c r="G11" s="80">
        <v>32</v>
      </c>
      <c r="H11" s="70" t="s">
        <v>8</v>
      </c>
      <c r="I11" s="70">
        <v>6203</v>
      </c>
      <c r="J11" s="85">
        <f>F11*G11</f>
        <v>14591.999999988824</v>
      </c>
      <c r="K11" s="88"/>
      <c r="L11" s="88"/>
    </row>
    <row r="12" spans="1:12" x14ac:dyDescent="0.25">
      <c r="A12">
        <v>8</v>
      </c>
      <c r="B12" s="86" t="s">
        <v>15</v>
      </c>
      <c r="C12" s="70">
        <v>1</v>
      </c>
      <c r="D12" s="82"/>
      <c r="E12" s="72">
        <v>46081</v>
      </c>
      <c r="F12" s="73" t="s">
        <v>7</v>
      </c>
      <c r="G12" s="74" t="s">
        <v>492</v>
      </c>
      <c r="J12" s="75"/>
    </row>
    <row r="13" spans="1:12" ht="15.6" x14ac:dyDescent="0.3">
      <c r="B13" s="87"/>
      <c r="C13" s="77">
        <v>2</v>
      </c>
      <c r="D13" s="77">
        <v>0</v>
      </c>
      <c r="E13" s="72" t="s">
        <v>10</v>
      </c>
      <c r="F13" s="84">
        <v>477.38333335650782</v>
      </c>
      <c r="G13" s="80">
        <v>35</v>
      </c>
      <c r="H13" s="70" t="s">
        <v>8</v>
      </c>
      <c r="I13" s="70">
        <v>6203</v>
      </c>
      <c r="J13" s="85">
        <f>F13*G13</f>
        <v>16708.416667477773</v>
      </c>
      <c r="K13" s="88"/>
      <c r="L13" s="88"/>
    </row>
    <row r="14" spans="1:12" x14ac:dyDescent="0.25">
      <c r="A14">
        <v>9</v>
      </c>
      <c r="B14" s="86" t="s">
        <v>16</v>
      </c>
      <c r="C14" s="70">
        <v>1</v>
      </c>
      <c r="D14" s="82"/>
      <c r="E14" s="72">
        <v>46081</v>
      </c>
      <c r="F14" s="73" t="s">
        <v>7</v>
      </c>
      <c r="G14" s="74" t="s">
        <v>492</v>
      </c>
      <c r="J14" s="75"/>
    </row>
    <row r="15" spans="1:12" ht="15.6" x14ac:dyDescent="0.3">
      <c r="B15" s="87"/>
      <c r="C15" s="77">
        <v>2</v>
      </c>
      <c r="D15" s="77">
        <v>0</v>
      </c>
      <c r="E15" s="72" t="s">
        <v>10</v>
      </c>
      <c r="F15" s="89">
        <v>383</v>
      </c>
      <c r="G15" s="80">
        <v>35</v>
      </c>
      <c r="H15" s="70" t="s">
        <v>8</v>
      </c>
      <c r="I15" s="70">
        <v>6203</v>
      </c>
      <c r="J15" s="85">
        <f>F15*G15</f>
        <v>13405</v>
      </c>
      <c r="K15" s="88"/>
      <c r="L15" s="88"/>
    </row>
    <row r="16" spans="1:12" ht="13.5" customHeight="1" x14ac:dyDescent="0.25">
      <c r="A16">
        <v>10</v>
      </c>
      <c r="B16" s="90" t="s">
        <v>6</v>
      </c>
      <c r="C16" s="70">
        <v>1</v>
      </c>
      <c r="E16" s="72">
        <v>46081</v>
      </c>
      <c r="F16" s="91" t="s">
        <v>7</v>
      </c>
      <c r="G16" s="74" t="s">
        <v>492</v>
      </c>
      <c r="J16" s="75"/>
    </row>
    <row r="17" spans="1:10" ht="15.6" x14ac:dyDescent="0.3">
      <c r="C17" s="77">
        <v>2</v>
      </c>
      <c r="D17" s="77">
        <v>0</v>
      </c>
      <c r="E17" s="78" t="s">
        <v>549</v>
      </c>
      <c r="F17" s="84">
        <v>263.25</v>
      </c>
      <c r="G17" s="92">
        <v>35</v>
      </c>
      <c r="H17" s="70" t="s">
        <v>8</v>
      </c>
      <c r="I17" s="70">
        <v>6203</v>
      </c>
      <c r="J17" s="85">
        <f>F17*G17</f>
        <v>9213.75</v>
      </c>
    </row>
    <row r="18" spans="1:10" ht="15.6" x14ac:dyDescent="0.3">
      <c r="C18" s="77">
        <v>2</v>
      </c>
      <c r="D18" s="77">
        <v>0</v>
      </c>
      <c r="E18" s="78" t="s">
        <v>550</v>
      </c>
      <c r="F18" s="84">
        <v>481.90000000000009</v>
      </c>
      <c r="G18" s="92">
        <v>35</v>
      </c>
      <c r="H18" s="70" t="s">
        <v>8</v>
      </c>
      <c r="I18" s="70">
        <v>6203</v>
      </c>
      <c r="J18" s="85">
        <f>F18*G18</f>
        <v>16866.500000000004</v>
      </c>
    </row>
    <row r="19" spans="1:10" ht="13.5" customHeight="1" x14ac:dyDescent="0.25">
      <c r="A19">
        <v>11</v>
      </c>
      <c r="B19" s="90" t="s">
        <v>533</v>
      </c>
      <c r="C19" s="70">
        <v>1</v>
      </c>
      <c r="E19" s="72">
        <v>46081</v>
      </c>
      <c r="F19" s="91" t="s">
        <v>7</v>
      </c>
      <c r="G19" s="74" t="s">
        <v>492</v>
      </c>
      <c r="J19" s="75"/>
    </row>
    <row r="20" spans="1:10" ht="15.6" x14ac:dyDescent="0.3">
      <c r="C20" s="77">
        <v>2</v>
      </c>
      <c r="D20" s="77">
        <v>0</v>
      </c>
      <c r="E20" s="78" t="s">
        <v>10</v>
      </c>
      <c r="F20" s="84">
        <v>16.916666666666671</v>
      </c>
      <c r="G20" s="70">
        <v>35</v>
      </c>
      <c r="H20" s="70" t="s">
        <v>8</v>
      </c>
      <c r="I20" s="70">
        <v>6203</v>
      </c>
      <c r="J20" s="85">
        <f>F20*G20</f>
        <v>592.08333333333348</v>
      </c>
    </row>
    <row r="21" spans="1:10" ht="13.5" customHeight="1" x14ac:dyDescent="0.25">
      <c r="A21">
        <v>12</v>
      </c>
      <c r="B21" s="90" t="s">
        <v>19</v>
      </c>
      <c r="C21" s="70">
        <v>1</v>
      </c>
      <c r="E21" s="72">
        <v>46081</v>
      </c>
      <c r="F21" s="91" t="s">
        <v>7</v>
      </c>
      <c r="G21" s="74" t="s">
        <v>492</v>
      </c>
      <c r="J21" s="75"/>
    </row>
    <row r="22" spans="1:10" ht="15.6" x14ac:dyDescent="0.3">
      <c r="C22" s="77">
        <v>2</v>
      </c>
      <c r="D22" s="77">
        <v>0</v>
      </c>
      <c r="E22" s="78" t="s">
        <v>10</v>
      </c>
      <c r="F22" s="84">
        <v>12.416666666666668</v>
      </c>
      <c r="G22" s="70">
        <v>35</v>
      </c>
      <c r="H22" s="70" t="s">
        <v>8</v>
      </c>
      <c r="I22" s="70">
        <v>6203</v>
      </c>
      <c r="J22" s="85">
        <f>F22*G22</f>
        <v>434.58333333333337</v>
      </c>
    </row>
    <row r="23" spans="1:10" ht="13.5" customHeight="1" x14ac:dyDescent="0.25">
      <c r="A23">
        <v>13</v>
      </c>
      <c r="B23" s="90" t="s">
        <v>11</v>
      </c>
      <c r="C23" s="70">
        <v>1</v>
      </c>
      <c r="E23" s="72">
        <v>46081</v>
      </c>
      <c r="F23" s="91" t="s">
        <v>7</v>
      </c>
      <c r="G23" s="74" t="s">
        <v>492</v>
      </c>
      <c r="J23" s="75"/>
    </row>
    <row r="24" spans="1:10" ht="15.6" x14ac:dyDescent="0.3">
      <c r="C24" s="77">
        <v>2</v>
      </c>
      <c r="D24" s="77">
        <v>0</v>
      </c>
      <c r="E24" s="78" t="s">
        <v>10</v>
      </c>
      <c r="F24" s="89">
        <v>30.25</v>
      </c>
      <c r="G24" s="70">
        <v>35</v>
      </c>
      <c r="H24" s="70" t="s">
        <v>8</v>
      </c>
      <c r="I24" s="70">
        <v>6203</v>
      </c>
      <c r="J24" s="75">
        <f>F24*G24</f>
        <v>1058.75</v>
      </c>
    </row>
    <row r="25" spans="1:10" ht="13.5" customHeight="1" x14ac:dyDescent="0.25">
      <c r="A25">
        <v>14</v>
      </c>
      <c r="B25" s="90" t="s">
        <v>20</v>
      </c>
      <c r="C25" s="70">
        <v>1</v>
      </c>
      <c r="E25" s="72">
        <v>46081</v>
      </c>
      <c r="F25" s="91" t="s">
        <v>7</v>
      </c>
      <c r="G25" s="74" t="s">
        <v>492</v>
      </c>
      <c r="J25" s="75"/>
    </row>
    <row r="26" spans="1:10" ht="15.6" x14ac:dyDescent="0.3">
      <c r="C26" s="77">
        <v>2</v>
      </c>
      <c r="D26" s="77">
        <v>0</v>
      </c>
      <c r="E26" s="78" t="s">
        <v>10</v>
      </c>
      <c r="F26" s="84">
        <v>16.666666666666664</v>
      </c>
      <c r="G26" s="70">
        <v>35</v>
      </c>
      <c r="H26" s="70" t="s">
        <v>8</v>
      </c>
      <c r="I26" s="70">
        <v>6203</v>
      </c>
      <c r="J26" s="85">
        <f>F26*G26</f>
        <v>583.33333333333326</v>
      </c>
    </row>
    <row r="27" spans="1:10" ht="13.5" customHeight="1" x14ac:dyDescent="0.25">
      <c r="A27">
        <v>15</v>
      </c>
      <c r="B27" s="90" t="s">
        <v>260</v>
      </c>
      <c r="C27" s="70">
        <v>1</v>
      </c>
      <c r="E27" s="72">
        <v>46081</v>
      </c>
      <c r="F27" s="91" t="s">
        <v>7</v>
      </c>
      <c r="G27" s="74" t="s">
        <v>492</v>
      </c>
      <c r="J27" s="75"/>
    </row>
    <row r="28" spans="1:10" ht="15.6" x14ac:dyDescent="0.3">
      <c r="C28" s="77">
        <v>2</v>
      </c>
      <c r="D28" s="77">
        <v>0</v>
      </c>
      <c r="E28" s="78" t="s">
        <v>10</v>
      </c>
      <c r="F28" s="84">
        <v>29.75</v>
      </c>
      <c r="G28" s="70">
        <v>35</v>
      </c>
      <c r="H28" s="70" t="s">
        <v>8</v>
      </c>
      <c r="I28" s="70">
        <v>6203</v>
      </c>
      <c r="J28" s="85">
        <f>F28*G28</f>
        <v>1041.25</v>
      </c>
    </row>
    <row r="29" spans="1:10" ht="13.5" customHeight="1" x14ac:dyDescent="0.25">
      <c r="A29">
        <v>16</v>
      </c>
      <c r="B29" s="90" t="s">
        <v>21</v>
      </c>
      <c r="C29" s="70">
        <v>1</v>
      </c>
      <c r="E29" s="72">
        <v>46081</v>
      </c>
      <c r="F29" s="91" t="s">
        <v>7</v>
      </c>
      <c r="G29" s="74" t="s">
        <v>492</v>
      </c>
      <c r="J29" s="75"/>
    </row>
    <row r="30" spans="1:10" ht="15.6" x14ac:dyDescent="0.3">
      <c r="C30" s="77">
        <v>2</v>
      </c>
      <c r="D30" s="77">
        <v>0</v>
      </c>
      <c r="E30" s="78" t="s">
        <v>10</v>
      </c>
      <c r="F30" s="84">
        <v>356.43333333333334</v>
      </c>
      <c r="G30" s="70">
        <v>35</v>
      </c>
      <c r="H30" s="70" t="s">
        <v>8</v>
      </c>
      <c r="I30" s="70">
        <v>6203</v>
      </c>
      <c r="J30" s="85">
        <f>F30*G30</f>
        <v>12475.166666666666</v>
      </c>
    </row>
    <row r="31" spans="1:10" ht="13.5" customHeight="1" x14ac:dyDescent="0.25">
      <c r="A31">
        <v>17</v>
      </c>
      <c r="B31" s="90" t="s">
        <v>261</v>
      </c>
      <c r="C31" s="70">
        <v>1</v>
      </c>
      <c r="E31" s="72">
        <v>46081</v>
      </c>
      <c r="F31" s="91" t="s">
        <v>7</v>
      </c>
      <c r="G31" s="74" t="s">
        <v>492</v>
      </c>
      <c r="J31" s="75"/>
    </row>
    <row r="32" spans="1:10" x14ac:dyDescent="0.25">
      <c r="C32" s="77">
        <v>2</v>
      </c>
      <c r="D32" s="77">
        <v>0</v>
      </c>
      <c r="E32" s="78" t="s">
        <v>10</v>
      </c>
      <c r="F32" s="93">
        <v>255.08333333333334</v>
      </c>
      <c r="G32" s="70">
        <v>32</v>
      </c>
      <c r="H32" s="70" t="s">
        <v>8</v>
      </c>
      <c r="I32" s="70">
        <v>6203</v>
      </c>
      <c r="J32" s="85">
        <f>F32*G32</f>
        <v>8162.666666666667</v>
      </c>
    </row>
    <row r="33" spans="1:10" ht="13.5" customHeight="1" x14ac:dyDescent="0.25">
      <c r="A33">
        <v>18</v>
      </c>
      <c r="B33" s="90" t="s">
        <v>265</v>
      </c>
      <c r="C33" s="70">
        <v>1</v>
      </c>
      <c r="E33" s="72">
        <v>46081</v>
      </c>
      <c r="F33" s="91" t="s">
        <v>7</v>
      </c>
      <c r="G33" s="74" t="s">
        <v>492</v>
      </c>
      <c r="J33" s="75"/>
    </row>
    <row r="34" spans="1:10" ht="15.6" x14ac:dyDescent="0.3">
      <c r="C34" s="77">
        <v>2</v>
      </c>
      <c r="D34" s="77">
        <v>0</v>
      </c>
      <c r="E34" s="78" t="s">
        <v>10</v>
      </c>
      <c r="F34" s="84">
        <v>617.91666668228584</v>
      </c>
      <c r="G34" s="70">
        <v>32</v>
      </c>
      <c r="H34" s="70" t="s">
        <v>8</v>
      </c>
      <c r="I34" s="70">
        <v>6203</v>
      </c>
      <c r="J34" s="85">
        <f>F34*G34</f>
        <v>19773.333333833147</v>
      </c>
    </row>
    <row r="35" spans="1:10" ht="13.5" customHeight="1" x14ac:dyDescent="0.25">
      <c r="A35">
        <v>19</v>
      </c>
      <c r="B35" s="90" t="s">
        <v>18</v>
      </c>
      <c r="C35" s="70">
        <v>1</v>
      </c>
      <c r="E35" s="72">
        <v>46081</v>
      </c>
      <c r="F35" s="91" t="s">
        <v>7</v>
      </c>
      <c r="G35" s="74" t="s">
        <v>492</v>
      </c>
      <c r="J35" s="75"/>
    </row>
    <row r="36" spans="1:10" ht="15.6" x14ac:dyDescent="0.3">
      <c r="C36" s="77">
        <v>2</v>
      </c>
      <c r="D36" s="77">
        <v>0</v>
      </c>
      <c r="E36" s="78" t="s">
        <v>10</v>
      </c>
      <c r="F36" s="84">
        <v>311.89999998576241</v>
      </c>
      <c r="G36" s="70">
        <v>35</v>
      </c>
      <c r="H36" s="70" t="s">
        <v>8</v>
      </c>
      <c r="I36" s="70">
        <v>6203</v>
      </c>
      <c r="J36" s="85">
        <f>F36*G36</f>
        <v>10916.499999501684</v>
      </c>
    </row>
    <row r="37" spans="1:10" ht="13.5" customHeight="1" x14ac:dyDescent="0.25">
      <c r="A37">
        <v>20</v>
      </c>
      <c r="B37" s="90" t="s">
        <v>535</v>
      </c>
      <c r="C37" s="70">
        <v>1</v>
      </c>
      <c r="E37" s="72">
        <v>46081</v>
      </c>
      <c r="F37" s="91" t="s">
        <v>7</v>
      </c>
      <c r="G37" s="74" t="s">
        <v>492</v>
      </c>
      <c r="J37" s="75"/>
    </row>
    <row r="38" spans="1:10" ht="15.6" x14ac:dyDescent="0.3">
      <c r="C38" s="77">
        <v>2</v>
      </c>
      <c r="D38" s="77">
        <v>0</v>
      </c>
      <c r="E38" s="78" t="s">
        <v>10</v>
      </c>
      <c r="F38" s="84">
        <v>119</v>
      </c>
      <c r="G38" s="70">
        <v>35</v>
      </c>
      <c r="H38" s="70" t="s">
        <v>8</v>
      </c>
      <c r="I38" s="70">
        <v>6203</v>
      </c>
      <c r="J38" s="85">
        <f>F38*G38</f>
        <v>4165</v>
      </c>
    </row>
    <row r="39" spans="1:10" ht="13.5" customHeight="1" x14ac:dyDescent="0.25">
      <c r="A39">
        <v>21</v>
      </c>
      <c r="B39" s="90" t="s">
        <v>264</v>
      </c>
      <c r="C39" s="70">
        <v>1</v>
      </c>
      <c r="E39" s="72">
        <v>46081</v>
      </c>
      <c r="F39" s="91" t="s">
        <v>7</v>
      </c>
      <c r="G39" s="74" t="s">
        <v>492</v>
      </c>
      <c r="J39" s="75"/>
    </row>
    <row r="40" spans="1:10" ht="15.6" x14ac:dyDescent="0.3">
      <c r="C40" s="77">
        <v>2</v>
      </c>
      <c r="D40" s="77">
        <v>0</v>
      </c>
      <c r="E40" s="78" t="s">
        <v>10</v>
      </c>
      <c r="F40" s="84">
        <v>371.86666666666667</v>
      </c>
      <c r="G40" s="70">
        <v>35</v>
      </c>
      <c r="H40" s="70" t="s">
        <v>8</v>
      </c>
      <c r="I40" s="70">
        <v>6203</v>
      </c>
      <c r="J40" s="85">
        <f>F40*G40</f>
        <v>13015.333333333334</v>
      </c>
    </row>
    <row r="41" spans="1:10" ht="13.5" customHeight="1" x14ac:dyDescent="0.25">
      <c r="A41">
        <v>22</v>
      </c>
      <c r="B41" s="90" t="s">
        <v>536</v>
      </c>
      <c r="C41" s="70">
        <v>1</v>
      </c>
      <c r="E41" s="72">
        <v>46081</v>
      </c>
      <c r="F41" s="91" t="s">
        <v>7</v>
      </c>
      <c r="G41" s="74" t="s">
        <v>492</v>
      </c>
      <c r="J41" s="75"/>
    </row>
    <row r="42" spans="1:10" ht="15.6" x14ac:dyDescent="0.3">
      <c r="C42" s="77">
        <v>2</v>
      </c>
      <c r="D42" s="77">
        <v>0</v>
      </c>
      <c r="E42" s="78" t="s">
        <v>10</v>
      </c>
      <c r="F42" s="84">
        <v>96.083333333333329</v>
      </c>
      <c r="G42" s="70">
        <v>35</v>
      </c>
      <c r="H42" s="70" t="s">
        <v>8</v>
      </c>
      <c r="I42" s="70">
        <v>6203</v>
      </c>
      <c r="J42" s="85">
        <f>F42*G42</f>
        <v>3362.9166666666665</v>
      </c>
    </row>
    <row r="43" spans="1:10" ht="13.5" customHeight="1" x14ac:dyDescent="0.25">
      <c r="A43">
        <v>23</v>
      </c>
      <c r="B43" s="90" t="s">
        <v>537</v>
      </c>
      <c r="C43" s="70">
        <v>1</v>
      </c>
      <c r="E43" s="72">
        <v>46081</v>
      </c>
      <c r="F43" s="91" t="s">
        <v>7</v>
      </c>
      <c r="G43" s="74" t="s">
        <v>492</v>
      </c>
      <c r="J43" s="75"/>
    </row>
    <row r="44" spans="1:10" ht="15.6" x14ac:dyDescent="0.3">
      <c r="C44" s="77">
        <v>2</v>
      </c>
      <c r="D44" s="77">
        <v>0</v>
      </c>
      <c r="E44" s="78" t="s">
        <v>10</v>
      </c>
      <c r="F44" s="84">
        <v>116.83333333333331</v>
      </c>
      <c r="G44" s="70">
        <v>35</v>
      </c>
      <c r="H44" s="70" t="s">
        <v>8</v>
      </c>
      <c r="I44" s="70">
        <v>6203</v>
      </c>
      <c r="J44" s="85">
        <f>F44*G44</f>
        <v>4089.1666666666661</v>
      </c>
    </row>
    <row r="45" spans="1:10" x14ac:dyDescent="0.25">
      <c r="A45">
        <v>24</v>
      </c>
      <c r="B45" s="94" t="s">
        <v>515</v>
      </c>
      <c r="C45" s="70">
        <v>1</v>
      </c>
      <c r="E45" s="72">
        <v>46081</v>
      </c>
      <c r="F45" s="91" t="s">
        <v>7</v>
      </c>
      <c r="G45" s="74" t="s">
        <v>493</v>
      </c>
      <c r="J45" s="95"/>
    </row>
    <row r="46" spans="1:10" ht="15.6" x14ac:dyDescent="0.3">
      <c r="C46" s="77">
        <v>2</v>
      </c>
      <c r="D46" s="77">
        <v>0</v>
      </c>
      <c r="E46" s="78" t="s">
        <v>10</v>
      </c>
      <c r="F46" s="89">
        <v>141</v>
      </c>
      <c r="G46" s="70">
        <v>35</v>
      </c>
      <c r="H46" s="70" t="s">
        <v>22</v>
      </c>
      <c r="I46" s="70">
        <v>6203</v>
      </c>
      <c r="J46" s="96">
        <f>F46*G46</f>
        <v>4935</v>
      </c>
    </row>
    <row r="47" spans="1:10" x14ac:dyDescent="0.25">
      <c r="A47">
        <v>25</v>
      </c>
      <c r="B47" s="86" t="s">
        <v>23</v>
      </c>
      <c r="C47" s="95">
        <v>1</v>
      </c>
      <c r="D47" s="78"/>
      <c r="E47" s="72">
        <v>46081</v>
      </c>
      <c r="F47" s="73" t="s">
        <v>7</v>
      </c>
      <c r="G47" s="74" t="s">
        <v>493</v>
      </c>
      <c r="J47" s="95"/>
    </row>
    <row r="48" spans="1:10" ht="15.6" x14ac:dyDescent="0.3">
      <c r="B48" s="87"/>
      <c r="C48" s="77">
        <v>2</v>
      </c>
      <c r="D48" s="77">
        <v>0</v>
      </c>
      <c r="E48" s="78" t="s">
        <v>10</v>
      </c>
      <c r="F48" s="89">
        <v>39</v>
      </c>
      <c r="G48" s="80">
        <v>35</v>
      </c>
      <c r="H48" s="70" t="s">
        <v>22</v>
      </c>
      <c r="I48" s="70">
        <v>6203</v>
      </c>
      <c r="J48" s="95">
        <f>F48*G48</f>
        <v>1365</v>
      </c>
    </row>
    <row r="49" spans="1:12" x14ac:dyDescent="0.25">
      <c r="A49">
        <v>26</v>
      </c>
      <c r="B49" s="86" t="s">
        <v>357</v>
      </c>
      <c r="C49" s="95">
        <v>1</v>
      </c>
      <c r="D49" s="78"/>
      <c r="E49" s="72">
        <v>46081</v>
      </c>
      <c r="F49" s="73" t="s">
        <v>7</v>
      </c>
      <c r="G49" s="74" t="s">
        <v>493</v>
      </c>
      <c r="J49" s="95"/>
    </row>
    <row r="50" spans="1:12" ht="15.6" x14ac:dyDescent="0.3">
      <c r="B50" s="87"/>
      <c r="C50" s="77">
        <v>2</v>
      </c>
      <c r="D50" s="77">
        <v>0</v>
      </c>
      <c r="E50" s="78" t="s">
        <v>25</v>
      </c>
      <c r="F50" s="84">
        <v>51.75</v>
      </c>
      <c r="G50" s="80">
        <v>35</v>
      </c>
      <c r="H50" s="70" t="s">
        <v>22</v>
      </c>
      <c r="I50" s="70">
        <v>6203</v>
      </c>
      <c r="J50" s="96">
        <f>F50*G50</f>
        <v>1811.25</v>
      </c>
    </row>
    <row r="51" spans="1:12" x14ac:dyDescent="0.25">
      <c r="A51">
        <v>27</v>
      </c>
      <c r="B51" s="86" t="s">
        <v>24</v>
      </c>
      <c r="C51" s="95">
        <v>1</v>
      </c>
      <c r="D51" s="78"/>
      <c r="E51" s="72">
        <v>46081</v>
      </c>
      <c r="F51" s="73" t="s">
        <v>7</v>
      </c>
      <c r="G51" s="74" t="s">
        <v>493</v>
      </c>
      <c r="J51" s="95"/>
    </row>
    <row r="52" spans="1:12" ht="15.6" x14ac:dyDescent="0.3">
      <c r="B52" s="87"/>
      <c r="C52" s="77">
        <v>2</v>
      </c>
      <c r="D52" s="77">
        <v>0</v>
      </c>
      <c r="E52" s="78" t="s">
        <v>10</v>
      </c>
      <c r="F52" s="89">
        <v>30.83</v>
      </c>
      <c r="G52" s="80">
        <v>35</v>
      </c>
      <c r="H52" s="70" t="s">
        <v>22</v>
      </c>
      <c r="I52" s="70">
        <v>6203</v>
      </c>
      <c r="J52" s="95">
        <f>F52*G52</f>
        <v>1079.05</v>
      </c>
    </row>
    <row r="53" spans="1:12" s="70" customFormat="1" x14ac:dyDescent="0.25">
      <c r="A53" s="70">
        <v>28</v>
      </c>
      <c r="B53" s="86" t="s">
        <v>543</v>
      </c>
      <c r="C53" s="95">
        <v>1</v>
      </c>
      <c r="D53" s="78"/>
      <c r="E53" s="72">
        <v>46081</v>
      </c>
      <c r="F53" s="73" t="s">
        <v>7</v>
      </c>
      <c r="G53" s="74" t="s">
        <v>493</v>
      </c>
      <c r="J53" s="95"/>
    </row>
    <row r="54" spans="1:12" s="70" customFormat="1" ht="15.6" x14ac:dyDescent="0.3">
      <c r="B54" s="87"/>
      <c r="C54" s="77">
        <v>2</v>
      </c>
      <c r="D54" s="77">
        <v>0</v>
      </c>
      <c r="E54" s="78" t="s">
        <v>544</v>
      </c>
      <c r="F54" s="89">
        <v>57</v>
      </c>
      <c r="G54" s="80">
        <v>130</v>
      </c>
      <c r="H54" s="70" t="s">
        <v>22</v>
      </c>
      <c r="I54" s="70">
        <v>6203</v>
      </c>
      <c r="J54" s="95">
        <f>F54*G54</f>
        <v>7410</v>
      </c>
    </row>
    <row r="55" spans="1:12" s="70" customFormat="1" x14ac:dyDescent="0.25">
      <c r="A55" s="70">
        <v>29</v>
      </c>
      <c r="B55" s="86" t="s">
        <v>631</v>
      </c>
      <c r="C55" s="95">
        <v>1</v>
      </c>
      <c r="D55" s="78"/>
      <c r="E55" s="72">
        <v>46081</v>
      </c>
      <c r="F55" s="73" t="s">
        <v>7</v>
      </c>
      <c r="G55" s="74" t="s">
        <v>493</v>
      </c>
      <c r="J55" s="95"/>
    </row>
    <row r="56" spans="1:12" s="70" customFormat="1" ht="15.6" x14ac:dyDescent="0.3">
      <c r="B56" s="87"/>
      <c r="C56" s="77">
        <v>2</v>
      </c>
      <c r="D56" s="77">
        <v>0</v>
      </c>
      <c r="E56" s="78" t="s">
        <v>25</v>
      </c>
      <c r="F56" s="84">
        <v>16</v>
      </c>
      <c r="G56" s="80">
        <v>35</v>
      </c>
      <c r="H56" s="70" t="s">
        <v>22</v>
      </c>
      <c r="I56" s="70">
        <v>6203</v>
      </c>
      <c r="J56" s="96">
        <f>F56*G56</f>
        <v>560</v>
      </c>
    </row>
    <row r="57" spans="1:12" s="70" customFormat="1" x14ac:dyDescent="0.25">
      <c r="A57" s="70">
        <v>30</v>
      </c>
      <c r="B57" s="86" t="s">
        <v>630</v>
      </c>
      <c r="C57" s="95">
        <v>1</v>
      </c>
      <c r="D57" s="78"/>
      <c r="E57" s="72">
        <v>46081</v>
      </c>
      <c r="F57" s="73" t="s">
        <v>7</v>
      </c>
      <c r="G57" s="74" t="s">
        <v>493</v>
      </c>
      <c r="J57" s="95"/>
    </row>
    <row r="58" spans="1:12" s="70" customFormat="1" ht="15.6" x14ac:dyDescent="0.3">
      <c r="A58" s="97"/>
      <c r="B58" s="87"/>
      <c r="C58" s="77">
        <v>2</v>
      </c>
      <c r="D58" s="77">
        <v>0</v>
      </c>
      <c r="E58" s="78" t="s">
        <v>10</v>
      </c>
      <c r="F58" s="89">
        <v>99.33</v>
      </c>
      <c r="G58" s="80">
        <v>35</v>
      </c>
      <c r="H58" s="70" t="s">
        <v>22</v>
      </c>
      <c r="I58" s="70">
        <v>6203</v>
      </c>
      <c r="J58" s="95">
        <f>F58*G58</f>
        <v>3476.5499999999997</v>
      </c>
    </row>
    <row r="59" spans="1:12" x14ac:dyDescent="0.25">
      <c r="A59">
        <v>31</v>
      </c>
      <c r="B59" s="86" t="s">
        <v>26</v>
      </c>
      <c r="C59" s="95">
        <v>1</v>
      </c>
      <c r="D59" s="98"/>
      <c r="E59" s="72">
        <v>46081</v>
      </c>
      <c r="F59" s="99" t="s">
        <v>7</v>
      </c>
      <c r="G59" s="74" t="s">
        <v>493</v>
      </c>
      <c r="J59" s="100"/>
    </row>
    <row r="60" spans="1:12" ht="15.6" x14ac:dyDescent="0.3">
      <c r="C60" s="77">
        <v>2</v>
      </c>
      <c r="D60" s="77">
        <v>0</v>
      </c>
      <c r="E60" s="82" t="s">
        <v>10</v>
      </c>
      <c r="F60" s="84">
        <v>32.42</v>
      </c>
      <c r="G60" s="80">
        <v>35</v>
      </c>
      <c r="H60" s="70" t="s">
        <v>22</v>
      </c>
      <c r="I60" s="70">
        <v>6203</v>
      </c>
      <c r="J60" s="101">
        <f>F60*G60</f>
        <v>1134.7</v>
      </c>
    </row>
    <row r="61" spans="1:12" x14ac:dyDescent="0.25">
      <c r="A61">
        <v>32</v>
      </c>
      <c r="B61" s="86" t="s">
        <v>28</v>
      </c>
      <c r="C61" s="95">
        <v>1</v>
      </c>
      <c r="D61" s="98"/>
      <c r="E61" s="72">
        <v>46081</v>
      </c>
      <c r="F61" s="99" t="s">
        <v>7</v>
      </c>
      <c r="G61" s="74" t="s">
        <v>493</v>
      </c>
      <c r="J61" s="100"/>
    </row>
    <row r="62" spans="1:12" ht="15.6" x14ac:dyDescent="0.3">
      <c r="B62" s="87"/>
      <c r="C62" s="77">
        <v>2</v>
      </c>
      <c r="D62" s="77">
        <v>0</v>
      </c>
      <c r="E62" s="78" t="s">
        <v>10</v>
      </c>
      <c r="F62" s="89">
        <v>0</v>
      </c>
      <c r="G62" s="80">
        <v>35</v>
      </c>
      <c r="H62" s="70" t="s">
        <v>22</v>
      </c>
      <c r="I62" s="70">
        <v>6203</v>
      </c>
      <c r="J62" s="100">
        <f>F62*G62</f>
        <v>0</v>
      </c>
      <c r="L62">
        <f>SUM(J45:J80)</f>
        <v>118913.09999999999</v>
      </c>
    </row>
    <row r="63" spans="1:12" x14ac:dyDescent="0.25">
      <c r="A63">
        <v>33</v>
      </c>
      <c r="B63" s="86" t="s">
        <v>234</v>
      </c>
      <c r="C63" s="95">
        <v>1</v>
      </c>
      <c r="D63" s="78"/>
      <c r="E63" s="72">
        <v>46081</v>
      </c>
      <c r="F63" s="73" t="s">
        <v>7</v>
      </c>
      <c r="G63" s="74" t="s">
        <v>493</v>
      </c>
      <c r="J63" s="100"/>
    </row>
    <row r="64" spans="1:12" ht="15.6" x14ac:dyDescent="0.3">
      <c r="B64" s="87"/>
      <c r="C64" s="77">
        <v>2</v>
      </c>
      <c r="D64" s="77">
        <v>0</v>
      </c>
      <c r="E64" s="78" t="s">
        <v>10</v>
      </c>
      <c r="F64" s="84">
        <v>0</v>
      </c>
      <c r="G64" s="80">
        <v>35</v>
      </c>
      <c r="H64" s="70" t="s">
        <v>22</v>
      </c>
      <c r="I64" s="70">
        <v>6203</v>
      </c>
      <c r="J64" s="101">
        <f>F64*G64</f>
        <v>0</v>
      </c>
    </row>
    <row r="65" spans="1:10" x14ac:dyDescent="0.25">
      <c r="A65">
        <v>34</v>
      </c>
      <c r="B65" s="86" t="s">
        <v>27</v>
      </c>
      <c r="C65" s="95">
        <v>1</v>
      </c>
      <c r="D65" s="98"/>
      <c r="E65" s="72">
        <v>46081</v>
      </c>
      <c r="F65" s="99" t="s">
        <v>7</v>
      </c>
      <c r="G65" s="74" t="s">
        <v>493</v>
      </c>
      <c r="J65" s="100"/>
    </row>
    <row r="66" spans="1:10" ht="15.6" x14ac:dyDescent="0.3">
      <c r="B66" s="87"/>
      <c r="C66" s="77">
        <v>2</v>
      </c>
      <c r="D66" s="77">
        <v>0</v>
      </c>
      <c r="E66" s="78" t="s">
        <v>526</v>
      </c>
      <c r="F66" s="84">
        <v>1419.83</v>
      </c>
      <c r="G66" s="80">
        <v>35</v>
      </c>
      <c r="H66" s="70" t="s">
        <v>22</v>
      </c>
      <c r="I66" s="70">
        <v>6203</v>
      </c>
      <c r="J66" s="101">
        <f>F66*G66</f>
        <v>49694.049999999996</v>
      </c>
    </row>
    <row r="67" spans="1:10" ht="15.6" x14ac:dyDescent="0.3">
      <c r="B67" s="87"/>
      <c r="C67" s="77">
        <v>2</v>
      </c>
      <c r="D67" s="77">
        <v>0</v>
      </c>
      <c r="E67" s="78" t="s">
        <v>527</v>
      </c>
      <c r="F67" s="84">
        <v>29</v>
      </c>
      <c r="G67" s="80">
        <v>180</v>
      </c>
      <c r="H67" s="70" t="s">
        <v>22</v>
      </c>
      <c r="I67" s="70">
        <v>6203</v>
      </c>
      <c r="J67" s="101">
        <f>F67*G67</f>
        <v>5220</v>
      </c>
    </row>
    <row r="68" spans="1:10" ht="15.6" x14ac:dyDescent="0.3">
      <c r="B68" s="87"/>
      <c r="C68" s="77">
        <v>2</v>
      </c>
      <c r="D68" s="77">
        <v>0</v>
      </c>
      <c r="E68" s="78" t="s">
        <v>559</v>
      </c>
      <c r="F68" s="84">
        <v>401.75</v>
      </c>
      <c r="G68" s="80">
        <v>35</v>
      </c>
      <c r="H68" s="70" t="s">
        <v>22</v>
      </c>
      <c r="I68" s="70">
        <v>6203</v>
      </c>
      <c r="J68" s="101">
        <f>F68*G68</f>
        <v>14061.25</v>
      </c>
    </row>
    <row r="69" spans="1:10" x14ac:dyDescent="0.25">
      <c r="A69">
        <v>35</v>
      </c>
      <c r="B69" s="86" t="s">
        <v>221</v>
      </c>
      <c r="C69" s="95">
        <v>1</v>
      </c>
      <c r="D69" s="78"/>
      <c r="E69" s="72">
        <v>46081</v>
      </c>
      <c r="F69" s="73" t="s">
        <v>7</v>
      </c>
      <c r="G69" s="74" t="s">
        <v>493</v>
      </c>
      <c r="J69" s="100"/>
    </row>
    <row r="70" spans="1:10" ht="15.6" x14ac:dyDescent="0.3">
      <c r="B70" s="87"/>
      <c r="C70" s="77">
        <v>2</v>
      </c>
      <c r="D70" s="77">
        <v>0</v>
      </c>
      <c r="E70" s="78" t="s">
        <v>48</v>
      </c>
      <c r="F70" s="102">
        <v>76.25</v>
      </c>
      <c r="G70" s="80">
        <v>35</v>
      </c>
      <c r="H70" s="70" t="s">
        <v>22</v>
      </c>
      <c r="I70" s="70">
        <v>6203</v>
      </c>
      <c r="J70" s="100">
        <f>F70*G70</f>
        <v>2668.75</v>
      </c>
    </row>
    <row r="71" spans="1:10" x14ac:dyDescent="0.25">
      <c r="A71">
        <v>36</v>
      </c>
      <c r="B71" s="86" t="s">
        <v>380</v>
      </c>
      <c r="C71" s="95">
        <v>1</v>
      </c>
      <c r="D71" s="98"/>
      <c r="E71" s="72">
        <v>46081</v>
      </c>
      <c r="F71" s="99" t="s">
        <v>7</v>
      </c>
      <c r="G71" s="74" t="s">
        <v>493</v>
      </c>
      <c r="J71" s="100"/>
    </row>
    <row r="72" spans="1:10" ht="15.6" x14ac:dyDescent="0.3">
      <c r="B72" s="87"/>
      <c r="C72" s="77">
        <v>2</v>
      </c>
      <c r="D72" s="77">
        <v>0</v>
      </c>
      <c r="E72" s="78" t="s">
        <v>10</v>
      </c>
      <c r="F72" s="84">
        <v>73.25</v>
      </c>
      <c r="G72" s="80">
        <v>35</v>
      </c>
      <c r="H72" s="70" t="s">
        <v>22</v>
      </c>
      <c r="I72" s="70">
        <v>6203</v>
      </c>
      <c r="J72" s="101">
        <f>F72*G72</f>
        <v>2563.75</v>
      </c>
    </row>
    <row r="73" spans="1:10" x14ac:dyDescent="0.25">
      <c r="A73">
        <v>37</v>
      </c>
      <c r="B73" s="86" t="s">
        <v>239</v>
      </c>
      <c r="C73" s="95">
        <v>1</v>
      </c>
      <c r="D73" s="78"/>
      <c r="E73" s="72">
        <v>46081</v>
      </c>
      <c r="F73" s="73" t="s">
        <v>7</v>
      </c>
      <c r="G73" s="74" t="s">
        <v>493</v>
      </c>
      <c r="J73" s="100"/>
    </row>
    <row r="74" spans="1:10" ht="15.6" x14ac:dyDescent="0.3">
      <c r="B74" s="87"/>
      <c r="C74" s="77">
        <v>2</v>
      </c>
      <c r="D74" s="77">
        <v>0</v>
      </c>
      <c r="E74" s="78" t="s">
        <v>25</v>
      </c>
      <c r="F74" s="84">
        <v>63.42</v>
      </c>
      <c r="G74" s="80">
        <v>35</v>
      </c>
      <c r="H74" s="70" t="s">
        <v>22</v>
      </c>
      <c r="I74" s="70">
        <v>6203</v>
      </c>
      <c r="J74" s="101">
        <f>F74*G74</f>
        <v>2219.7000000000003</v>
      </c>
    </row>
    <row r="75" spans="1:10" x14ac:dyDescent="0.25">
      <c r="A75">
        <v>38</v>
      </c>
      <c r="B75" s="86" t="s">
        <v>248</v>
      </c>
      <c r="C75" s="95">
        <v>1</v>
      </c>
      <c r="D75" s="98"/>
      <c r="E75" s="72">
        <v>46081</v>
      </c>
      <c r="F75" s="99" t="s">
        <v>7</v>
      </c>
      <c r="G75" s="74" t="s">
        <v>493</v>
      </c>
      <c r="J75" s="100"/>
    </row>
    <row r="76" spans="1:10" ht="15.6" x14ac:dyDescent="0.3">
      <c r="C76" s="77">
        <v>2</v>
      </c>
      <c r="D76" s="77">
        <v>0</v>
      </c>
      <c r="E76" s="82" t="s">
        <v>10</v>
      </c>
      <c r="F76" s="84">
        <v>24.33</v>
      </c>
      <c r="G76" s="80">
        <v>35</v>
      </c>
      <c r="H76" s="70" t="s">
        <v>22</v>
      </c>
      <c r="I76" s="70">
        <v>6203</v>
      </c>
      <c r="J76" s="101">
        <f>F76*G76</f>
        <v>851.55</v>
      </c>
    </row>
    <row r="77" spans="1:10" x14ac:dyDescent="0.25">
      <c r="A77">
        <v>39</v>
      </c>
      <c r="B77" s="86" t="s">
        <v>414</v>
      </c>
      <c r="C77" s="95">
        <v>1</v>
      </c>
      <c r="D77" s="78"/>
      <c r="E77" s="72">
        <v>46081</v>
      </c>
      <c r="F77" s="73" t="s">
        <v>7</v>
      </c>
      <c r="G77" s="74" t="s">
        <v>493</v>
      </c>
      <c r="J77" s="100"/>
    </row>
    <row r="78" spans="1:10" ht="15.6" x14ac:dyDescent="0.3">
      <c r="B78" s="87"/>
      <c r="C78" s="77">
        <v>2</v>
      </c>
      <c r="D78" s="77">
        <v>0</v>
      </c>
      <c r="E78" s="78" t="s">
        <v>25</v>
      </c>
      <c r="F78" s="84">
        <v>9.33</v>
      </c>
      <c r="G78" s="80">
        <v>35</v>
      </c>
      <c r="H78" s="70" t="s">
        <v>22</v>
      </c>
      <c r="I78" s="70">
        <v>6203</v>
      </c>
      <c r="J78" s="101">
        <f>F78*G78</f>
        <v>326.55</v>
      </c>
    </row>
    <row r="79" spans="1:10" x14ac:dyDescent="0.25">
      <c r="A79">
        <v>40</v>
      </c>
      <c r="B79" s="86" t="s">
        <v>287</v>
      </c>
      <c r="C79" s="95">
        <v>1</v>
      </c>
      <c r="D79" s="98"/>
      <c r="E79" s="72">
        <v>46081</v>
      </c>
      <c r="F79" s="99" t="s">
        <v>7</v>
      </c>
      <c r="G79" s="74" t="s">
        <v>493</v>
      </c>
      <c r="J79" s="100"/>
    </row>
    <row r="80" spans="1:10" ht="15.6" x14ac:dyDescent="0.3">
      <c r="C80" s="77">
        <v>2</v>
      </c>
      <c r="D80" s="77">
        <v>0</v>
      </c>
      <c r="E80" s="82" t="s">
        <v>10</v>
      </c>
      <c r="F80" s="84">
        <v>558.16999999999996</v>
      </c>
      <c r="G80" s="80">
        <v>35</v>
      </c>
      <c r="H80" s="70" t="s">
        <v>22</v>
      </c>
      <c r="I80" s="70">
        <v>6203</v>
      </c>
      <c r="J80" s="101">
        <f>F80*G80</f>
        <v>19535.949999999997</v>
      </c>
    </row>
    <row r="81" spans="1:10" x14ac:dyDescent="0.25">
      <c r="A81">
        <v>41</v>
      </c>
      <c r="B81" s="103" t="s">
        <v>321</v>
      </c>
      <c r="C81" s="70">
        <v>1</v>
      </c>
      <c r="E81" s="72">
        <v>46081</v>
      </c>
      <c r="F81" s="104" t="s">
        <v>7</v>
      </c>
      <c r="G81" s="74" t="s">
        <v>494</v>
      </c>
      <c r="J81" s="105"/>
    </row>
    <row r="82" spans="1:10" ht="15.6" x14ac:dyDescent="0.3">
      <c r="C82" s="77">
        <v>2</v>
      </c>
      <c r="D82" s="77">
        <v>0</v>
      </c>
      <c r="E82" s="78" t="s">
        <v>29</v>
      </c>
      <c r="F82" s="89">
        <v>225.17</v>
      </c>
      <c r="G82" s="70">
        <v>36</v>
      </c>
      <c r="H82" s="70" t="s">
        <v>30</v>
      </c>
      <c r="I82" s="70">
        <v>6203</v>
      </c>
      <c r="J82" s="105">
        <f>F82*G82</f>
        <v>8106.12</v>
      </c>
    </row>
    <row r="83" spans="1:10" x14ac:dyDescent="0.25">
      <c r="A83">
        <v>42</v>
      </c>
      <c r="B83" s="103" t="s">
        <v>556</v>
      </c>
      <c r="C83" s="70">
        <v>1</v>
      </c>
      <c r="E83" s="72">
        <v>46081</v>
      </c>
      <c r="F83" s="104" t="s">
        <v>7</v>
      </c>
      <c r="G83" s="74" t="s">
        <v>494</v>
      </c>
      <c r="J83" s="105"/>
    </row>
    <row r="84" spans="1:10" ht="15.6" x14ac:dyDescent="0.3">
      <c r="C84" s="77">
        <v>2</v>
      </c>
      <c r="D84" s="77">
        <v>0</v>
      </c>
      <c r="E84" s="78" t="s">
        <v>29</v>
      </c>
      <c r="F84" s="89">
        <v>68.42</v>
      </c>
      <c r="G84" s="70">
        <v>36</v>
      </c>
      <c r="H84" s="70" t="s">
        <v>30</v>
      </c>
      <c r="I84" s="70">
        <v>6203</v>
      </c>
      <c r="J84" s="105">
        <f>F84*G84</f>
        <v>2463.12</v>
      </c>
    </row>
    <row r="85" spans="1:10" x14ac:dyDescent="0.25">
      <c r="A85">
        <v>43</v>
      </c>
      <c r="B85" s="103" t="s">
        <v>545</v>
      </c>
      <c r="C85" s="70">
        <v>1</v>
      </c>
      <c r="E85" s="72">
        <v>46081</v>
      </c>
      <c r="F85" s="104" t="s">
        <v>7</v>
      </c>
      <c r="G85" s="74" t="s">
        <v>494</v>
      </c>
      <c r="J85" s="105"/>
    </row>
    <row r="86" spans="1:10" ht="15.6" x14ac:dyDescent="0.3">
      <c r="C86" s="77">
        <v>2</v>
      </c>
      <c r="D86" s="77">
        <v>0</v>
      </c>
      <c r="E86" s="78" t="s">
        <v>29</v>
      </c>
      <c r="F86" s="84">
        <v>1406.5</v>
      </c>
      <c r="G86" s="70">
        <v>36</v>
      </c>
      <c r="H86" s="70" t="s">
        <v>30</v>
      </c>
      <c r="I86" s="70">
        <v>6203</v>
      </c>
      <c r="J86" s="106">
        <f>F86*G86</f>
        <v>50634</v>
      </c>
    </row>
    <row r="87" spans="1:10" x14ac:dyDescent="0.25">
      <c r="A87">
        <v>44</v>
      </c>
      <c r="B87" s="94" t="s">
        <v>546</v>
      </c>
      <c r="C87" s="70">
        <v>1</v>
      </c>
      <c r="E87" s="72">
        <v>46081</v>
      </c>
      <c r="F87" s="91" t="s">
        <v>7</v>
      </c>
      <c r="G87" s="74" t="s">
        <v>494</v>
      </c>
      <c r="J87" s="105"/>
    </row>
    <row r="88" spans="1:10" ht="15.6" x14ac:dyDescent="0.3">
      <c r="C88" s="77">
        <v>2</v>
      </c>
      <c r="D88" s="77">
        <v>0</v>
      </c>
      <c r="E88" s="78" t="s">
        <v>29</v>
      </c>
      <c r="F88" s="102">
        <v>276.83</v>
      </c>
      <c r="G88" s="70">
        <v>36</v>
      </c>
      <c r="H88" s="70" t="s">
        <v>30</v>
      </c>
      <c r="I88" s="70">
        <v>6203</v>
      </c>
      <c r="J88" s="105">
        <f>F88*G88</f>
        <v>9965.8799999999992</v>
      </c>
    </row>
    <row r="89" spans="1:10" x14ac:dyDescent="0.25">
      <c r="A89">
        <v>45</v>
      </c>
      <c r="B89" s="103" t="s">
        <v>463</v>
      </c>
      <c r="C89" s="70">
        <v>1</v>
      </c>
      <c r="E89" s="72">
        <v>46081</v>
      </c>
      <c r="F89" s="91" t="s">
        <v>7</v>
      </c>
      <c r="G89" s="74" t="s">
        <v>494</v>
      </c>
      <c r="J89" s="105"/>
    </row>
    <row r="90" spans="1:10" ht="15.6" x14ac:dyDescent="0.3">
      <c r="C90" s="77">
        <v>2</v>
      </c>
      <c r="D90" s="77">
        <v>0</v>
      </c>
      <c r="E90" s="78" t="s">
        <v>12</v>
      </c>
      <c r="F90" s="84">
        <v>169</v>
      </c>
      <c r="G90" s="70">
        <v>36</v>
      </c>
      <c r="H90" s="70" t="s">
        <v>30</v>
      </c>
      <c r="I90" s="70">
        <v>6203</v>
      </c>
      <c r="J90" s="107">
        <f>F90*G90</f>
        <v>6084</v>
      </c>
    </row>
    <row r="91" spans="1:10" x14ac:dyDescent="0.25">
      <c r="A91">
        <v>46</v>
      </c>
      <c r="B91" s="94" t="s">
        <v>554</v>
      </c>
      <c r="C91" s="70">
        <v>1</v>
      </c>
      <c r="E91" s="72">
        <v>46081</v>
      </c>
      <c r="F91" s="91" t="s">
        <v>7</v>
      </c>
      <c r="G91" s="74" t="s">
        <v>494</v>
      </c>
      <c r="J91" s="105"/>
    </row>
    <row r="92" spans="1:10" ht="15.6" x14ac:dyDescent="0.3">
      <c r="C92" s="77">
        <v>2</v>
      </c>
      <c r="D92" s="77">
        <v>0</v>
      </c>
      <c r="E92" s="78" t="s">
        <v>29</v>
      </c>
      <c r="F92" s="89">
        <v>43.5</v>
      </c>
      <c r="G92" s="70">
        <v>36</v>
      </c>
      <c r="H92" s="70" t="s">
        <v>30</v>
      </c>
      <c r="I92" s="70">
        <v>6203</v>
      </c>
      <c r="J92" s="105">
        <f>F92*G92</f>
        <v>1566</v>
      </c>
    </row>
    <row r="93" spans="1:10" x14ac:dyDescent="0.25">
      <c r="A93">
        <v>47</v>
      </c>
      <c r="B93" s="103" t="s">
        <v>32</v>
      </c>
      <c r="C93" s="70">
        <v>1</v>
      </c>
      <c r="E93" s="72">
        <v>46081</v>
      </c>
      <c r="F93" s="104" t="s">
        <v>7</v>
      </c>
      <c r="G93" s="74" t="s">
        <v>494</v>
      </c>
      <c r="J93" s="105"/>
    </row>
    <row r="94" spans="1:10" ht="15.6" x14ac:dyDescent="0.3">
      <c r="C94" s="77">
        <v>2</v>
      </c>
      <c r="D94" s="77">
        <v>0</v>
      </c>
      <c r="E94" s="78" t="s">
        <v>268</v>
      </c>
      <c r="F94" s="89">
        <v>66.83</v>
      </c>
      <c r="G94" s="70">
        <v>36</v>
      </c>
      <c r="H94" s="70" t="s">
        <v>30</v>
      </c>
      <c r="I94" s="70">
        <v>6203</v>
      </c>
      <c r="J94" s="105">
        <f>F94*G94</f>
        <v>2405.88</v>
      </c>
    </row>
    <row r="95" spans="1:10" x14ac:dyDescent="0.25">
      <c r="A95">
        <v>48</v>
      </c>
      <c r="B95" s="94" t="s">
        <v>257</v>
      </c>
      <c r="C95" s="70">
        <v>1</v>
      </c>
      <c r="E95" s="72">
        <v>46081</v>
      </c>
      <c r="F95" s="91" t="s">
        <v>7</v>
      </c>
      <c r="G95" s="74" t="s">
        <v>494</v>
      </c>
      <c r="J95" s="105"/>
    </row>
    <row r="96" spans="1:10" ht="15.6" x14ac:dyDescent="0.3">
      <c r="C96" s="77">
        <v>2</v>
      </c>
      <c r="D96" s="77">
        <v>0</v>
      </c>
      <c r="E96" s="78" t="s">
        <v>29</v>
      </c>
      <c r="F96" s="89">
        <v>113.67</v>
      </c>
      <c r="G96" s="70">
        <v>36</v>
      </c>
      <c r="H96" s="70" t="s">
        <v>30</v>
      </c>
      <c r="I96" s="70">
        <v>6203</v>
      </c>
      <c r="J96" s="105">
        <f>F96*G96</f>
        <v>4092.12</v>
      </c>
    </row>
    <row r="97" spans="1:10" x14ac:dyDescent="0.25">
      <c r="A97">
        <v>49</v>
      </c>
      <c r="B97" s="103" t="s">
        <v>555</v>
      </c>
      <c r="C97" s="70">
        <v>1</v>
      </c>
      <c r="E97" s="72">
        <v>46081</v>
      </c>
      <c r="F97" s="104" t="s">
        <v>7</v>
      </c>
      <c r="G97" s="74" t="s">
        <v>494</v>
      </c>
      <c r="J97" s="105"/>
    </row>
    <row r="98" spans="1:10" ht="15.6" x14ac:dyDescent="0.3">
      <c r="C98" s="77">
        <v>2</v>
      </c>
      <c r="D98" s="77">
        <v>0</v>
      </c>
      <c r="E98" s="78" t="s">
        <v>29</v>
      </c>
      <c r="F98" s="89">
        <v>1077</v>
      </c>
      <c r="G98" s="70">
        <v>36</v>
      </c>
      <c r="H98" s="70" t="s">
        <v>30</v>
      </c>
      <c r="I98" s="70">
        <v>6203</v>
      </c>
      <c r="J98" s="105">
        <f>F98*G98</f>
        <v>38772</v>
      </c>
    </row>
    <row r="99" spans="1:10" x14ac:dyDescent="0.25">
      <c r="A99">
        <v>50</v>
      </c>
      <c r="B99" s="103" t="s">
        <v>312</v>
      </c>
      <c r="C99" s="70">
        <v>1</v>
      </c>
      <c r="E99" s="72">
        <v>46081</v>
      </c>
      <c r="F99" s="104" t="s">
        <v>7</v>
      </c>
      <c r="G99" s="74" t="s">
        <v>494</v>
      </c>
      <c r="J99" s="105"/>
    </row>
    <row r="100" spans="1:10" ht="15.6" x14ac:dyDescent="0.3">
      <c r="C100" s="77">
        <v>2</v>
      </c>
      <c r="D100" s="77">
        <v>0</v>
      </c>
      <c r="E100" s="78" t="s">
        <v>268</v>
      </c>
      <c r="F100" s="89">
        <v>242.5</v>
      </c>
      <c r="G100" s="70">
        <v>36</v>
      </c>
      <c r="H100" s="70" t="s">
        <v>30</v>
      </c>
      <c r="I100" s="70">
        <v>6203</v>
      </c>
      <c r="J100" s="105">
        <f>F100*G100</f>
        <v>8730</v>
      </c>
    </row>
    <row r="101" spans="1:10" s="70" customFormat="1" ht="15.6" x14ac:dyDescent="0.3">
      <c r="A101" s="70">
        <v>51</v>
      </c>
      <c r="B101" s="108" t="s">
        <v>33</v>
      </c>
      <c r="C101" s="70">
        <v>1</v>
      </c>
      <c r="D101" s="82"/>
      <c r="E101" s="72">
        <v>46081</v>
      </c>
      <c r="F101" s="73" t="s">
        <v>7</v>
      </c>
      <c r="G101" s="74" t="s">
        <v>495</v>
      </c>
      <c r="J101" s="77"/>
    </row>
    <row r="102" spans="1:10" s="70" customFormat="1" ht="15.6" x14ac:dyDescent="0.3">
      <c r="B102" s="109"/>
      <c r="C102" s="77">
        <v>2</v>
      </c>
      <c r="D102" s="77">
        <v>0</v>
      </c>
      <c r="E102" s="72" t="s">
        <v>10</v>
      </c>
      <c r="F102" s="89">
        <v>983.92</v>
      </c>
      <c r="G102" s="80">
        <v>39</v>
      </c>
      <c r="H102" s="70" t="s">
        <v>34</v>
      </c>
      <c r="I102" s="70">
        <v>6203</v>
      </c>
      <c r="J102" s="77">
        <v>36748.25</v>
      </c>
    </row>
    <row r="103" spans="1:10" s="70" customFormat="1" ht="15.6" x14ac:dyDescent="0.3">
      <c r="A103" s="70">
        <v>52</v>
      </c>
      <c r="B103" s="108" t="s">
        <v>113</v>
      </c>
      <c r="C103" s="70">
        <v>1</v>
      </c>
      <c r="D103" s="82"/>
      <c r="E103" s="72">
        <v>46081</v>
      </c>
      <c r="F103" s="73" t="s">
        <v>7</v>
      </c>
      <c r="G103" s="74" t="s">
        <v>495</v>
      </c>
      <c r="J103" s="77"/>
    </row>
    <row r="104" spans="1:10" s="70" customFormat="1" ht="15.6" x14ac:dyDescent="0.3">
      <c r="B104" s="109"/>
      <c r="C104" s="77">
        <v>2</v>
      </c>
      <c r="D104" s="77">
        <v>0</v>
      </c>
      <c r="E104" s="72" t="s">
        <v>12</v>
      </c>
      <c r="F104" s="84">
        <v>484</v>
      </c>
      <c r="G104" s="80">
        <v>39</v>
      </c>
      <c r="H104" s="70" t="s">
        <v>34</v>
      </c>
      <c r="I104" s="70">
        <v>6203</v>
      </c>
      <c r="J104" s="77">
        <f>F104*G104</f>
        <v>18876</v>
      </c>
    </row>
    <row r="105" spans="1:10" s="70" customFormat="1" ht="15.6" x14ac:dyDescent="0.3">
      <c r="A105" s="70">
        <v>53</v>
      </c>
      <c r="B105" s="108" t="s">
        <v>35</v>
      </c>
      <c r="C105" s="70">
        <v>1</v>
      </c>
      <c r="D105" s="82"/>
      <c r="E105" s="72">
        <v>46081</v>
      </c>
      <c r="F105" s="73" t="s">
        <v>7</v>
      </c>
      <c r="G105" s="74" t="s">
        <v>495</v>
      </c>
      <c r="J105" s="77"/>
    </row>
    <row r="106" spans="1:10" s="70" customFormat="1" ht="15.6" x14ac:dyDescent="0.3">
      <c r="B106" s="109"/>
      <c r="C106" s="77">
        <v>2</v>
      </c>
      <c r="D106" s="77">
        <v>0</v>
      </c>
      <c r="E106" s="72" t="s">
        <v>12</v>
      </c>
      <c r="F106" s="84">
        <v>67.25</v>
      </c>
      <c r="G106" s="80">
        <v>39</v>
      </c>
      <c r="H106" s="70" t="s">
        <v>34</v>
      </c>
      <c r="I106" s="70">
        <v>6203</v>
      </c>
      <c r="J106" s="77">
        <v>1878.5</v>
      </c>
    </row>
    <row r="107" spans="1:10" s="70" customFormat="1" ht="15.6" x14ac:dyDescent="0.3">
      <c r="A107" s="70">
        <v>54</v>
      </c>
      <c r="B107" s="108" t="s">
        <v>36</v>
      </c>
      <c r="C107" s="70">
        <v>1</v>
      </c>
      <c r="D107" s="82"/>
      <c r="E107" s="72">
        <v>46081</v>
      </c>
      <c r="F107" s="73" t="s">
        <v>7</v>
      </c>
      <c r="G107" s="74" t="s">
        <v>495</v>
      </c>
      <c r="J107" s="77"/>
    </row>
    <row r="108" spans="1:10" s="70" customFormat="1" ht="15.6" x14ac:dyDescent="0.3">
      <c r="B108" s="109"/>
      <c r="C108" s="77">
        <v>2</v>
      </c>
      <c r="D108" s="77">
        <v>0</v>
      </c>
      <c r="E108" s="72" t="s">
        <v>12</v>
      </c>
      <c r="F108" s="89">
        <v>372.32</v>
      </c>
      <c r="G108" s="80">
        <v>39</v>
      </c>
      <c r="H108" s="70" t="s">
        <v>34</v>
      </c>
      <c r="I108" s="70">
        <v>6203</v>
      </c>
      <c r="J108" s="77">
        <v>14134.02</v>
      </c>
    </row>
    <row r="109" spans="1:10" s="70" customFormat="1" ht="15.6" x14ac:dyDescent="0.3">
      <c r="A109" s="70">
        <v>55</v>
      </c>
      <c r="B109" s="108" t="s">
        <v>38</v>
      </c>
      <c r="C109" s="70">
        <v>1</v>
      </c>
      <c r="D109" s="82"/>
      <c r="E109" s="72">
        <v>46081</v>
      </c>
      <c r="F109" s="73" t="s">
        <v>7</v>
      </c>
      <c r="G109" s="74" t="s">
        <v>495</v>
      </c>
      <c r="J109" s="77"/>
    </row>
    <row r="110" spans="1:10" s="70" customFormat="1" ht="15.6" x14ac:dyDescent="0.3">
      <c r="B110" s="109"/>
      <c r="C110" s="77">
        <v>2</v>
      </c>
      <c r="D110" s="77">
        <v>0</v>
      </c>
      <c r="E110" s="72" t="s">
        <v>10</v>
      </c>
      <c r="F110" s="84">
        <v>329.2</v>
      </c>
      <c r="G110" s="80">
        <v>39</v>
      </c>
      <c r="H110" s="70" t="s">
        <v>34</v>
      </c>
      <c r="I110" s="70">
        <v>6203</v>
      </c>
      <c r="J110" s="77">
        <f>F110*G110</f>
        <v>12838.8</v>
      </c>
    </row>
    <row r="111" spans="1:10" s="70" customFormat="1" ht="15.6" x14ac:dyDescent="0.3">
      <c r="A111" s="70">
        <v>56</v>
      </c>
      <c r="B111" s="108" t="s">
        <v>39</v>
      </c>
      <c r="C111" s="70">
        <v>1</v>
      </c>
      <c r="D111" s="82"/>
      <c r="E111" s="72">
        <v>46081</v>
      </c>
      <c r="F111" s="110" t="s">
        <v>7</v>
      </c>
      <c r="G111" s="74" t="s">
        <v>495</v>
      </c>
      <c r="J111" s="77"/>
    </row>
    <row r="112" spans="1:10" ht="15.6" x14ac:dyDescent="0.3">
      <c r="B112" s="109"/>
      <c r="C112" s="77">
        <v>2</v>
      </c>
      <c r="D112" s="77">
        <v>0</v>
      </c>
      <c r="E112" s="72" t="s">
        <v>10</v>
      </c>
      <c r="F112" s="89">
        <v>166.58</v>
      </c>
      <c r="G112" s="111">
        <v>39</v>
      </c>
      <c r="H112" s="70" t="s">
        <v>34</v>
      </c>
      <c r="I112" s="70">
        <v>6203</v>
      </c>
      <c r="J112" s="77">
        <f>F112*G112</f>
        <v>6496.6200000000008</v>
      </c>
    </row>
    <row r="113" spans="1:12" ht="15.6" x14ac:dyDescent="0.3">
      <c r="A113">
        <v>57</v>
      </c>
      <c r="B113" s="108" t="s">
        <v>40</v>
      </c>
      <c r="C113" s="70">
        <v>1</v>
      </c>
      <c r="D113" s="82"/>
      <c r="E113" s="72">
        <v>46081</v>
      </c>
      <c r="F113" s="110" t="s">
        <v>7</v>
      </c>
      <c r="G113" s="74" t="s">
        <v>495</v>
      </c>
      <c r="J113" s="77"/>
    </row>
    <row r="114" spans="1:12" ht="15.6" x14ac:dyDescent="0.3">
      <c r="B114" s="109"/>
      <c r="C114" s="77">
        <v>2</v>
      </c>
      <c r="D114" s="77">
        <v>0</v>
      </c>
      <c r="E114" s="72" t="s">
        <v>10</v>
      </c>
      <c r="F114" s="112">
        <v>577.25</v>
      </c>
      <c r="G114" s="111">
        <v>39</v>
      </c>
      <c r="H114" s="70" t="s">
        <v>34</v>
      </c>
      <c r="I114" s="70">
        <v>6203</v>
      </c>
      <c r="J114" s="77">
        <v>21242.92</v>
      </c>
    </row>
    <row r="115" spans="1:12" ht="15.6" x14ac:dyDescent="0.3">
      <c r="A115">
        <v>58</v>
      </c>
      <c r="B115" s="108" t="s">
        <v>47</v>
      </c>
      <c r="C115" s="70">
        <v>1</v>
      </c>
      <c r="D115" s="82"/>
      <c r="E115" s="72">
        <v>46081</v>
      </c>
      <c r="F115" s="110" t="s">
        <v>7</v>
      </c>
      <c r="G115" s="74" t="s">
        <v>495</v>
      </c>
      <c r="J115" s="77"/>
    </row>
    <row r="116" spans="1:12" ht="15.6" x14ac:dyDescent="0.3">
      <c r="B116" s="109"/>
      <c r="C116" s="77">
        <v>2</v>
      </c>
      <c r="D116" s="77">
        <v>0</v>
      </c>
      <c r="E116" s="72" t="s">
        <v>10</v>
      </c>
      <c r="F116" s="89">
        <v>38.67</v>
      </c>
      <c r="G116" s="111">
        <v>39</v>
      </c>
      <c r="H116" s="70" t="s">
        <v>34</v>
      </c>
      <c r="I116" s="70">
        <v>6203</v>
      </c>
      <c r="J116" s="77">
        <v>1353.33</v>
      </c>
    </row>
    <row r="117" spans="1:12" ht="15.6" x14ac:dyDescent="0.3">
      <c r="A117">
        <v>59</v>
      </c>
      <c r="B117" s="69" t="s">
        <v>342</v>
      </c>
      <c r="C117" s="70">
        <v>1</v>
      </c>
      <c r="D117" s="82"/>
      <c r="E117" s="72">
        <v>46081</v>
      </c>
      <c r="F117" s="73" t="s">
        <v>7</v>
      </c>
      <c r="G117" s="74" t="s">
        <v>496</v>
      </c>
      <c r="J117" s="113"/>
    </row>
    <row r="118" spans="1:12" ht="15.6" x14ac:dyDescent="0.3">
      <c r="C118" s="77">
        <v>2</v>
      </c>
      <c r="D118" s="77">
        <v>0</v>
      </c>
      <c r="E118" s="78" t="s">
        <v>10</v>
      </c>
      <c r="F118" s="84">
        <v>143.75</v>
      </c>
      <c r="G118" s="80">
        <v>30</v>
      </c>
      <c r="H118" s="70" t="s">
        <v>41</v>
      </c>
      <c r="I118" s="70">
        <v>6203</v>
      </c>
      <c r="J118" s="113">
        <f>F118*G118</f>
        <v>4312.5</v>
      </c>
      <c r="K118" s="88"/>
      <c r="L118" s="88"/>
    </row>
    <row r="119" spans="1:12" ht="15.6" x14ac:dyDescent="0.3">
      <c r="A119">
        <v>60</v>
      </c>
      <c r="B119" s="69" t="s">
        <v>42</v>
      </c>
      <c r="C119" s="70">
        <v>1</v>
      </c>
      <c r="D119" s="82"/>
      <c r="E119" s="72">
        <v>46081</v>
      </c>
      <c r="F119" s="73" t="s">
        <v>7</v>
      </c>
      <c r="G119" s="74" t="s">
        <v>496</v>
      </c>
      <c r="J119" s="113"/>
    </row>
    <row r="120" spans="1:12" ht="15.6" x14ac:dyDescent="0.3">
      <c r="C120" s="77">
        <v>2</v>
      </c>
      <c r="D120" s="77">
        <v>0</v>
      </c>
      <c r="E120" s="78" t="s">
        <v>10</v>
      </c>
      <c r="F120" s="84">
        <v>47.67</v>
      </c>
      <c r="G120" s="80">
        <v>30</v>
      </c>
      <c r="H120" s="70" t="s">
        <v>41</v>
      </c>
      <c r="I120" s="70">
        <v>6203</v>
      </c>
      <c r="J120" s="113">
        <f>F120*G120</f>
        <v>1430.1000000000001</v>
      </c>
      <c r="K120" s="88"/>
      <c r="L120" s="88"/>
    </row>
    <row r="121" spans="1:12" ht="15.6" x14ac:dyDescent="0.3">
      <c r="A121">
        <v>61</v>
      </c>
      <c r="B121" s="69" t="s">
        <v>232</v>
      </c>
      <c r="C121" s="70">
        <v>1</v>
      </c>
      <c r="D121" s="82"/>
      <c r="E121" s="72">
        <v>46081</v>
      </c>
      <c r="F121" s="73" t="s">
        <v>7</v>
      </c>
      <c r="G121" s="74" t="s">
        <v>496</v>
      </c>
      <c r="J121" s="113"/>
    </row>
    <row r="122" spans="1:12" ht="15.6" x14ac:dyDescent="0.3">
      <c r="C122" s="77">
        <v>2</v>
      </c>
      <c r="D122" s="77">
        <v>0</v>
      </c>
      <c r="E122" s="78" t="s">
        <v>10</v>
      </c>
      <c r="F122" s="84">
        <v>179.67</v>
      </c>
      <c r="G122" s="80">
        <v>30</v>
      </c>
      <c r="H122" s="70" t="s">
        <v>41</v>
      </c>
      <c r="I122" s="70">
        <v>6203</v>
      </c>
      <c r="J122" s="113">
        <f>F122*G122</f>
        <v>5390.0999999999995</v>
      </c>
      <c r="K122" s="88"/>
      <c r="L122" s="88"/>
    </row>
    <row r="123" spans="1:12" x14ac:dyDescent="0.25">
      <c r="A123">
        <v>62</v>
      </c>
      <c r="B123" s="86" t="s">
        <v>43</v>
      </c>
      <c r="C123" s="70">
        <v>1</v>
      </c>
      <c r="D123" s="82"/>
      <c r="E123" s="72">
        <v>46081</v>
      </c>
      <c r="F123" s="73" t="s">
        <v>7</v>
      </c>
      <c r="G123" s="74" t="s">
        <v>496</v>
      </c>
      <c r="J123" s="113"/>
    </row>
    <row r="124" spans="1:12" ht="15.6" x14ac:dyDescent="0.3">
      <c r="B124" s="87"/>
      <c r="C124" s="77">
        <v>2</v>
      </c>
      <c r="D124" s="77">
        <v>0</v>
      </c>
      <c r="E124" s="72" t="s">
        <v>25</v>
      </c>
      <c r="F124" s="84">
        <v>200.17</v>
      </c>
      <c r="G124" s="80">
        <v>30</v>
      </c>
      <c r="H124" s="70" t="s">
        <v>41</v>
      </c>
      <c r="I124" s="70">
        <v>6203</v>
      </c>
      <c r="J124" s="114">
        <f>F124*G124</f>
        <v>6005.0999999999995</v>
      </c>
    </row>
    <row r="125" spans="1:12" s="115" customFormat="1" x14ac:dyDescent="0.25">
      <c r="A125" s="70">
        <v>63</v>
      </c>
      <c r="B125" s="90" t="s">
        <v>609</v>
      </c>
      <c r="C125" s="70">
        <v>1</v>
      </c>
      <c r="D125" s="70"/>
      <c r="E125" s="72">
        <v>46081</v>
      </c>
      <c r="F125" s="91" t="s">
        <v>7</v>
      </c>
      <c r="G125" s="74" t="s">
        <v>496</v>
      </c>
      <c r="H125" s="70"/>
      <c r="I125" s="70"/>
      <c r="J125" s="113"/>
    </row>
    <row r="126" spans="1:12" s="115" customFormat="1" ht="15.6" x14ac:dyDescent="0.3">
      <c r="B126" s="83"/>
      <c r="C126" s="77">
        <v>2</v>
      </c>
      <c r="D126" s="77">
        <v>0</v>
      </c>
      <c r="E126" s="78" t="s">
        <v>10</v>
      </c>
      <c r="F126" s="89">
        <v>654.4</v>
      </c>
      <c r="G126" s="70">
        <v>30</v>
      </c>
      <c r="H126" s="70" t="s">
        <v>41</v>
      </c>
      <c r="I126" s="70">
        <v>6203</v>
      </c>
      <c r="J126" s="114">
        <f>F126*G126</f>
        <v>19632</v>
      </c>
    </row>
    <row r="127" spans="1:12" x14ac:dyDescent="0.25">
      <c r="A127">
        <v>64</v>
      </c>
      <c r="B127" s="86" t="s">
        <v>329</v>
      </c>
      <c r="C127" s="70">
        <v>1</v>
      </c>
      <c r="D127" s="82"/>
      <c r="E127" s="72">
        <v>46081</v>
      </c>
      <c r="F127" s="73" t="s">
        <v>7</v>
      </c>
      <c r="G127" s="74" t="s">
        <v>496</v>
      </c>
      <c r="J127" s="113"/>
    </row>
    <row r="128" spans="1:12" ht="15.6" x14ac:dyDescent="0.3">
      <c r="B128" s="87"/>
      <c r="C128" s="77">
        <v>2</v>
      </c>
      <c r="D128" s="77">
        <v>0</v>
      </c>
      <c r="E128" s="72" t="s">
        <v>25</v>
      </c>
      <c r="F128" s="84">
        <v>196.25</v>
      </c>
      <c r="G128" s="80">
        <v>30</v>
      </c>
      <c r="H128" s="70" t="s">
        <v>41</v>
      </c>
      <c r="I128" s="70">
        <v>6203</v>
      </c>
      <c r="J128" s="116">
        <f>F128*G128</f>
        <v>5887.5</v>
      </c>
    </row>
    <row r="129" spans="1:10" x14ac:dyDescent="0.25">
      <c r="A129">
        <v>65</v>
      </c>
      <c r="B129" s="90" t="s">
        <v>44</v>
      </c>
      <c r="C129" s="70">
        <v>1</v>
      </c>
      <c r="E129" s="72">
        <v>46081</v>
      </c>
      <c r="F129" s="91" t="s">
        <v>7</v>
      </c>
      <c r="G129" s="74" t="s">
        <v>496</v>
      </c>
      <c r="J129" s="113"/>
    </row>
    <row r="130" spans="1:10" ht="15.6" x14ac:dyDescent="0.3">
      <c r="C130" s="77">
        <v>2</v>
      </c>
      <c r="D130" s="77">
        <v>0</v>
      </c>
      <c r="E130" s="78" t="s">
        <v>10</v>
      </c>
      <c r="F130" s="84">
        <v>310.7</v>
      </c>
      <c r="G130" s="70">
        <v>30</v>
      </c>
      <c r="H130" s="70" t="s">
        <v>41</v>
      </c>
      <c r="I130" s="70">
        <v>6203</v>
      </c>
      <c r="J130" s="114">
        <f>F130*G130</f>
        <v>9321</v>
      </c>
    </row>
    <row r="131" spans="1:10" x14ac:dyDescent="0.25">
      <c r="A131">
        <v>66</v>
      </c>
      <c r="B131" s="86" t="s">
        <v>438</v>
      </c>
      <c r="C131" s="70">
        <v>1</v>
      </c>
      <c r="D131" s="82"/>
      <c r="E131" s="72">
        <v>46081</v>
      </c>
      <c r="F131" s="73" t="s">
        <v>7</v>
      </c>
      <c r="G131" s="74" t="s">
        <v>496</v>
      </c>
      <c r="J131" s="113"/>
    </row>
    <row r="132" spans="1:10" ht="15.6" x14ac:dyDescent="0.3">
      <c r="B132" s="87"/>
      <c r="C132" s="77">
        <v>2</v>
      </c>
      <c r="D132" s="77">
        <v>0</v>
      </c>
      <c r="E132" s="72" t="s">
        <v>25</v>
      </c>
      <c r="F132" s="84">
        <v>154.91999999999999</v>
      </c>
      <c r="G132" s="80">
        <v>30</v>
      </c>
      <c r="H132" s="70" t="s">
        <v>41</v>
      </c>
      <c r="I132" s="70">
        <v>6203</v>
      </c>
      <c r="J132" s="116">
        <f>F132*G132</f>
        <v>4647.5999999999995</v>
      </c>
    </row>
    <row r="133" spans="1:10" ht="13.5" customHeight="1" x14ac:dyDescent="0.25">
      <c r="A133">
        <v>67</v>
      </c>
      <c r="B133" s="86" t="s">
        <v>501</v>
      </c>
      <c r="C133" s="70">
        <v>1</v>
      </c>
      <c r="D133" s="82"/>
      <c r="E133" s="72">
        <v>46081</v>
      </c>
      <c r="F133" s="73" t="s">
        <v>7</v>
      </c>
      <c r="G133" s="74" t="s">
        <v>497</v>
      </c>
      <c r="J133" s="117"/>
    </row>
    <row r="134" spans="1:10" ht="15.6" x14ac:dyDescent="0.3">
      <c r="B134" s="87"/>
      <c r="C134" s="77">
        <v>2</v>
      </c>
      <c r="D134" s="77">
        <v>0</v>
      </c>
      <c r="E134" s="72" t="s">
        <v>10</v>
      </c>
      <c r="F134" s="89">
        <v>580.25</v>
      </c>
      <c r="G134" s="80">
        <v>33</v>
      </c>
      <c r="H134" s="70" t="s">
        <v>45</v>
      </c>
      <c r="I134" s="70">
        <v>6203</v>
      </c>
      <c r="J134" s="118">
        <f>F134*G134</f>
        <v>19148.25</v>
      </c>
    </row>
    <row r="135" spans="1:10" ht="13.5" customHeight="1" x14ac:dyDescent="0.25">
      <c r="A135">
        <v>68</v>
      </c>
      <c r="B135" s="86" t="s">
        <v>509</v>
      </c>
      <c r="C135" s="70">
        <v>1</v>
      </c>
      <c r="D135" s="82"/>
      <c r="E135" s="72">
        <v>46081</v>
      </c>
      <c r="F135" s="73" t="s">
        <v>7</v>
      </c>
      <c r="G135" s="74" t="s">
        <v>497</v>
      </c>
      <c r="J135" s="117"/>
    </row>
    <row r="136" spans="1:10" ht="15.6" x14ac:dyDescent="0.3">
      <c r="B136" s="87"/>
      <c r="C136" s="77">
        <v>2</v>
      </c>
      <c r="D136" s="77">
        <v>0</v>
      </c>
      <c r="E136" s="72" t="s">
        <v>10</v>
      </c>
      <c r="F136" s="89">
        <v>37.5</v>
      </c>
      <c r="G136" s="80">
        <v>33</v>
      </c>
      <c r="H136" s="70" t="s">
        <v>45</v>
      </c>
      <c r="I136" s="70">
        <v>6203</v>
      </c>
      <c r="J136" s="118">
        <f>F136*G136</f>
        <v>1237.5</v>
      </c>
    </row>
    <row r="137" spans="1:10" s="97" customFormat="1" ht="13.5" customHeight="1" x14ac:dyDescent="0.25">
      <c r="A137" s="70">
        <v>69</v>
      </c>
      <c r="B137" s="86" t="s">
        <v>510</v>
      </c>
      <c r="C137" s="70">
        <v>1</v>
      </c>
      <c r="D137" s="82"/>
      <c r="E137" s="72">
        <v>46081</v>
      </c>
      <c r="F137" s="73" t="s">
        <v>7</v>
      </c>
      <c r="G137" s="74" t="s">
        <v>497</v>
      </c>
      <c r="H137" s="70"/>
      <c r="I137" s="70"/>
      <c r="J137" s="117"/>
    </row>
    <row r="138" spans="1:10" s="97" customFormat="1" ht="15.6" x14ac:dyDescent="0.3">
      <c r="A138" s="70"/>
      <c r="B138" s="87"/>
      <c r="C138" s="77">
        <v>2</v>
      </c>
      <c r="D138" s="77">
        <v>0</v>
      </c>
      <c r="E138" s="72" t="s">
        <v>10</v>
      </c>
      <c r="F138" s="89">
        <v>27.5</v>
      </c>
      <c r="G138" s="80">
        <v>33</v>
      </c>
      <c r="H138" s="70" t="s">
        <v>45</v>
      </c>
      <c r="I138" s="70">
        <v>6203</v>
      </c>
      <c r="J138" s="118">
        <f>F138*G138</f>
        <v>907.5</v>
      </c>
    </row>
    <row r="139" spans="1:10" s="97" customFormat="1" ht="13.5" customHeight="1" x14ac:dyDescent="0.25">
      <c r="A139" s="70">
        <v>70</v>
      </c>
      <c r="B139" s="86" t="s">
        <v>511</v>
      </c>
      <c r="C139" s="70">
        <v>1</v>
      </c>
      <c r="D139" s="82"/>
      <c r="E139" s="72">
        <v>46081</v>
      </c>
      <c r="F139" s="73" t="s">
        <v>7</v>
      </c>
      <c r="G139" s="74" t="s">
        <v>497</v>
      </c>
      <c r="H139" s="70"/>
      <c r="I139" s="70"/>
      <c r="J139" s="117"/>
    </row>
    <row r="140" spans="1:10" s="97" customFormat="1" ht="15.6" x14ac:dyDescent="0.3">
      <c r="A140" s="70"/>
      <c r="B140" s="87"/>
      <c r="C140" s="77">
        <v>2</v>
      </c>
      <c r="D140" s="77">
        <v>0</v>
      </c>
      <c r="E140" s="72" t="s">
        <v>10</v>
      </c>
      <c r="F140" s="89">
        <v>84.83</v>
      </c>
      <c r="G140" s="80">
        <v>33</v>
      </c>
      <c r="H140" s="70" t="s">
        <v>45</v>
      </c>
      <c r="I140" s="70">
        <v>6203</v>
      </c>
      <c r="J140" s="118">
        <f>F140*G140</f>
        <v>2799.39</v>
      </c>
    </row>
    <row r="141" spans="1:10" ht="13.5" customHeight="1" x14ac:dyDescent="0.25">
      <c r="A141" s="70">
        <v>71</v>
      </c>
      <c r="B141" s="86" t="s">
        <v>46</v>
      </c>
      <c r="C141" s="70">
        <v>1</v>
      </c>
      <c r="D141" s="82"/>
      <c r="E141" s="72">
        <v>46081</v>
      </c>
      <c r="F141" s="73" t="s">
        <v>7</v>
      </c>
      <c r="G141" s="74" t="s">
        <v>497</v>
      </c>
      <c r="J141" s="117"/>
    </row>
    <row r="142" spans="1:10" ht="15.6" x14ac:dyDescent="0.3">
      <c r="A142" s="70"/>
      <c r="B142" s="87"/>
      <c r="C142" s="77">
        <v>2</v>
      </c>
      <c r="D142" s="77">
        <v>0</v>
      </c>
      <c r="E142" s="72" t="s">
        <v>266</v>
      </c>
      <c r="F142" s="89">
        <v>53.92</v>
      </c>
      <c r="G142" s="80">
        <v>33</v>
      </c>
      <c r="H142" s="70" t="s">
        <v>45</v>
      </c>
      <c r="I142" s="70">
        <v>6203</v>
      </c>
      <c r="J142" s="118">
        <f>F142*G142</f>
        <v>1779.3600000000001</v>
      </c>
    </row>
    <row r="143" spans="1:10" ht="13.5" customHeight="1" x14ac:dyDescent="0.25">
      <c r="A143" s="70">
        <v>72</v>
      </c>
      <c r="B143" s="86" t="s">
        <v>512</v>
      </c>
      <c r="C143" s="70">
        <v>1</v>
      </c>
      <c r="D143" s="82"/>
      <c r="E143" s="72">
        <v>46081</v>
      </c>
      <c r="F143" s="73" t="s">
        <v>7</v>
      </c>
      <c r="G143" s="74" t="s">
        <v>497</v>
      </c>
      <c r="J143" s="117"/>
    </row>
    <row r="144" spans="1:10" ht="15.6" x14ac:dyDescent="0.3">
      <c r="B144" s="87"/>
      <c r="C144" s="77">
        <v>2</v>
      </c>
      <c r="D144" s="77">
        <v>0</v>
      </c>
      <c r="E144" s="72" t="s">
        <v>10</v>
      </c>
      <c r="F144" s="89">
        <v>180.17</v>
      </c>
      <c r="G144" s="80">
        <v>33</v>
      </c>
      <c r="H144" s="70" t="s">
        <v>45</v>
      </c>
      <c r="I144" s="70">
        <v>6203</v>
      </c>
      <c r="J144" s="118">
        <f>F144*G144</f>
        <v>5945.61</v>
      </c>
    </row>
    <row r="145" spans="1:13" ht="13.5" customHeight="1" x14ac:dyDescent="0.25">
      <c r="A145">
        <v>73</v>
      </c>
      <c r="B145" s="86" t="s">
        <v>31</v>
      </c>
      <c r="C145" s="70">
        <v>1</v>
      </c>
      <c r="D145" s="82"/>
      <c r="E145" s="72">
        <v>46081</v>
      </c>
      <c r="F145" s="73" t="s">
        <v>7</v>
      </c>
      <c r="G145" s="74" t="s">
        <v>497</v>
      </c>
      <c r="J145" s="117"/>
    </row>
    <row r="146" spans="1:13" ht="15.6" x14ac:dyDescent="0.3">
      <c r="B146" s="87"/>
      <c r="C146" s="77">
        <v>2</v>
      </c>
      <c r="D146" s="77">
        <v>0</v>
      </c>
      <c r="E146" s="72" t="s">
        <v>10</v>
      </c>
      <c r="F146" s="89">
        <v>1044.33</v>
      </c>
      <c r="G146" s="80">
        <v>33</v>
      </c>
      <c r="H146" s="70" t="s">
        <v>45</v>
      </c>
      <c r="I146" s="70">
        <v>6203</v>
      </c>
      <c r="J146" s="118">
        <f>F146*G146</f>
        <v>34462.89</v>
      </c>
    </row>
    <row r="147" spans="1:13" ht="13.5" customHeight="1" x14ac:dyDescent="0.25">
      <c r="A147">
        <v>74</v>
      </c>
      <c r="B147" s="86" t="s">
        <v>299</v>
      </c>
      <c r="C147" s="70">
        <v>1</v>
      </c>
      <c r="D147" s="82"/>
      <c r="E147" s="72">
        <v>46081</v>
      </c>
      <c r="F147" s="73" t="s">
        <v>7</v>
      </c>
      <c r="G147" s="74" t="s">
        <v>497</v>
      </c>
      <c r="J147" s="117"/>
    </row>
    <row r="148" spans="1:13" ht="15.6" x14ac:dyDescent="0.3">
      <c r="B148" s="87"/>
      <c r="C148" s="77">
        <v>2</v>
      </c>
      <c r="D148" s="77">
        <v>0</v>
      </c>
      <c r="E148" s="72" t="s">
        <v>10</v>
      </c>
      <c r="F148" s="89">
        <v>355.33</v>
      </c>
      <c r="G148" s="80">
        <v>33</v>
      </c>
      <c r="H148" s="70" t="s">
        <v>45</v>
      </c>
      <c r="I148" s="70">
        <v>6203</v>
      </c>
      <c r="J148" s="118">
        <f>F148*G148</f>
        <v>11725.89</v>
      </c>
    </row>
    <row r="149" spans="1:13" x14ac:dyDescent="0.25">
      <c r="A149">
        <v>75</v>
      </c>
      <c r="B149" s="90" t="s">
        <v>226</v>
      </c>
      <c r="C149" s="70">
        <v>1</v>
      </c>
      <c r="E149" s="72">
        <v>46081</v>
      </c>
      <c r="F149" s="91" t="s">
        <v>7</v>
      </c>
      <c r="G149" s="74" t="s">
        <v>498</v>
      </c>
      <c r="J149" s="119"/>
    </row>
    <row r="150" spans="1:13" ht="15.6" x14ac:dyDescent="0.3">
      <c r="C150" s="77">
        <v>2</v>
      </c>
      <c r="D150" s="77">
        <v>0</v>
      </c>
      <c r="E150" s="78" t="s">
        <v>48</v>
      </c>
      <c r="F150" s="120">
        <v>289.25</v>
      </c>
      <c r="G150" s="70">
        <v>35</v>
      </c>
      <c r="H150" s="70" t="s">
        <v>49</v>
      </c>
      <c r="I150" s="70">
        <v>6203</v>
      </c>
      <c r="J150" s="119">
        <f>F150*G150</f>
        <v>10123.75</v>
      </c>
    </row>
    <row r="151" spans="1:13" x14ac:dyDescent="0.25">
      <c r="A151">
        <v>76</v>
      </c>
      <c r="B151" s="90" t="s">
        <v>47</v>
      </c>
      <c r="C151" s="70">
        <v>1</v>
      </c>
      <c r="E151" s="72">
        <v>46081</v>
      </c>
      <c r="F151" s="91" t="s">
        <v>7</v>
      </c>
      <c r="G151" s="74" t="s">
        <v>498</v>
      </c>
      <c r="J151" s="119"/>
    </row>
    <row r="152" spans="1:13" ht="15.6" x14ac:dyDescent="0.3">
      <c r="C152" s="77">
        <v>2</v>
      </c>
      <c r="D152" s="77">
        <v>0</v>
      </c>
      <c r="E152" s="78" t="s">
        <v>48</v>
      </c>
      <c r="F152" s="120">
        <v>680.71</v>
      </c>
      <c r="G152" s="70">
        <v>35</v>
      </c>
      <c r="H152" s="70" t="s">
        <v>49</v>
      </c>
      <c r="I152" s="70">
        <v>6203</v>
      </c>
      <c r="J152" s="119">
        <f>F152*G152</f>
        <v>23824.850000000002</v>
      </c>
    </row>
    <row r="153" spans="1:13" x14ac:dyDescent="0.25">
      <c r="H153" s="121"/>
    </row>
    <row r="155" spans="1:13" ht="15.6" x14ac:dyDescent="0.3">
      <c r="F155" s="122"/>
      <c r="J155" s="123" t="s">
        <v>50</v>
      </c>
      <c r="K155" s="5" t="s">
        <v>51</v>
      </c>
      <c r="L155" s="5" t="s">
        <v>52</v>
      </c>
    </row>
    <row r="156" spans="1:13" ht="15.6" thickBot="1" x14ac:dyDescent="0.3">
      <c r="H156" s="124" t="s">
        <v>53</v>
      </c>
      <c r="I156" s="125"/>
      <c r="J156" s="126">
        <v>132819</v>
      </c>
      <c r="K156" s="127">
        <f>SUM(J81:J100)</f>
        <v>132819.12</v>
      </c>
      <c r="L156" s="128">
        <f t="shared" ref="L156:L162" si="0">K156-J156</f>
        <v>0.11999999999534339</v>
      </c>
      <c r="M156" s="129" t="s">
        <v>222</v>
      </c>
    </row>
    <row r="157" spans="1:13" ht="15.6" thickBot="1" x14ac:dyDescent="0.3">
      <c r="E157" s="130" t="s">
        <v>632</v>
      </c>
      <c r="H157" s="124" t="s">
        <v>54</v>
      </c>
      <c r="I157" s="125"/>
      <c r="J157" s="131">
        <v>118913</v>
      </c>
      <c r="K157" s="132">
        <f>SUM(J45:J80)</f>
        <v>118913.09999999999</v>
      </c>
      <c r="L157" s="133">
        <f t="shared" si="0"/>
        <v>9.9999999991268851E-2</v>
      </c>
      <c r="M157" s="129" t="s">
        <v>222</v>
      </c>
    </row>
    <row r="158" spans="1:13" ht="15" x14ac:dyDescent="0.25">
      <c r="H158" s="124" t="s">
        <v>55</v>
      </c>
      <c r="I158" s="125"/>
      <c r="J158" s="134">
        <v>165994.57999999999</v>
      </c>
      <c r="K158" s="135">
        <f>SUM(J2:J44)</f>
        <v>165924.58333448475</v>
      </c>
      <c r="L158" s="133">
        <f t="shared" si="0"/>
        <v>-69.996665515238419</v>
      </c>
      <c r="M158" s="136" t="s">
        <v>222</v>
      </c>
    </row>
    <row r="159" spans="1:13" ht="15" x14ac:dyDescent="0.25">
      <c r="H159" s="124" t="s">
        <v>56</v>
      </c>
      <c r="I159" s="125"/>
      <c r="J159" s="137">
        <v>113568.57</v>
      </c>
      <c r="K159" s="138">
        <f>SUM(J101:J116)</f>
        <v>113568.44</v>
      </c>
      <c r="L159" s="133">
        <f t="shared" si="0"/>
        <v>-0.13000000000465661</v>
      </c>
      <c r="M159" s="129" t="s">
        <v>222</v>
      </c>
    </row>
    <row r="160" spans="1:13" ht="15" x14ac:dyDescent="0.25">
      <c r="H160" s="139" t="s">
        <v>57</v>
      </c>
      <c r="I160" s="125"/>
      <c r="J160" s="140">
        <v>56625.5</v>
      </c>
      <c r="K160" s="141">
        <f>SUM(J117:J132)</f>
        <v>56625.9</v>
      </c>
      <c r="L160" s="133">
        <f t="shared" si="0"/>
        <v>0.40000000000145519</v>
      </c>
      <c r="M160" s="129" t="s">
        <v>222</v>
      </c>
    </row>
    <row r="161" spans="5:13" ht="15" x14ac:dyDescent="0.25">
      <c r="H161" s="124" t="s">
        <v>58</v>
      </c>
      <c r="I161" s="125"/>
      <c r="J161" s="140">
        <v>78006.5</v>
      </c>
      <c r="K161" s="142">
        <f>SUM(J133:J148)</f>
        <v>78006.39</v>
      </c>
      <c r="L161" s="133">
        <f t="shared" si="0"/>
        <v>-0.11000000000058208</v>
      </c>
      <c r="M161" s="129" t="s">
        <v>222</v>
      </c>
    </row>
    <row r="162" spans="5:13" ht="15" x14ac:dyDescent="0.25">
      <c r="H162" s="124" t="s">
        <v>59</v>
      </c>
      <c r="I162" s="125"/>
      <c r="J162" s="143">
        <v>33948.75</v>
      </c>
      <c r="K162" s="144">
        <f>SUM(J149:J152)</f>
        <v>33948.600000000006</v>
      </c>
      <c r="L162" s="145">
        <f t="shared" si="0"/>
        <v>-0.14999999999417923</v>
      </c>
      <c r="M162" s="129" t="s">
        <v>222</v>
      </c>
    </row>
    <row r="163" spans="5:13" ht="15" x14ac:dyDescent="0.25">
      <c r="E163" s="161"/>
      <c r="F163" s="161"/>
      <c r="G163" s="146"/>
      <c r="H163" s="147" t="s">
        <v>60</v>
      </c>
      <c r="I163" s="147"/>
      <c r="J163" s="148">
        <f>SUM(J156:J162)</f>
        <v>699875.89999999991</v>
      </c>
      <c r="K163" s="145">
        <f>SUM(K156:K161)</f>
        <v>665857.53333448479</v>
      </c>
      <c r="L163" s="145">
        <f>SUM(L156:L161)</f>
        <v>-69.61666551525559</v>
      </c>
    </row>
    <row r="164" spans="5:13" ht="15" x14ac:dyDescent="0.25">
      <c r="H164" s="149" t="s">
        <v>61</v>
      </c>
      <c r="I164" s="149"/>
      <c r="J164" s="150">
        <f>SUM(K156:K162)</f>
        <v>699806.13333448477</v>
      </c>
      <c r="K164" s="151"/>
      <c r="L164" s="151"/>
    </row>
    <row r="165" spans="5:13" ht="15" x14ac:dyDescent="0.25">
      <c r="H165" s="152" t="s">
        <v>52</v>
      </c>
      <c r="I165" s="152"/>
      <c r="J165" s="153">
        <f>J163-J164</f>
        <v>69.76666551514063</v>
      </c>
      <c r="K165" s="151"/>
      <c r="L165" s="151"/>
    </row>
    <row r="166" spans="5:13" x14ac:dyDescent="0.25">
      <c r="J166" s="154"/>
    </row>
  </sheetData>
  <mergeCells count="1">
    <mergeCell ref="E163:F163"/>
  </mergeCells>
  <pageMargins left="0.25" right="0.25" top="0.75" bottom="0.75" header="0.3" footer="0.3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80C1-D3F3-41FB-9DE4-5EE70D8AA1C1}">
  <sheetPr>
    <pageSetUpPr fitToPage="1"/>
  </sheetPr>
  <dimension ref="A2:I229"/>
  <sheetViews>
    <sheetView rightToLeft="1" topLeftCell="A209" zoomScale="93" zoomScaleNormal="93" workbookViewId="0">
      <selection activeCell="I18" sqref="I18"/>
    </sheetView>
  </sheetViews>
  <sheetFormatPr defaultRowHeight="13.8" x14ac:dyDescent="0.25"/>
  <cols>
    <col min="1" max="1" width="14.3984375" customWidth="1"/>
    <col min="2" max="2" width="12.8984375" customWidth="1"/>
    <col min="3" max="3" width="12.19921875" customWidth="1"/>
    <col min="4" max="4" width="13.296875" customWidth="1"/>
    <col min="5" max="5" width="18.59765625" customWidth="1"/>
    <col min="6" max="6" width="16.19921875" customWidth="1"/>
    <col min="9" max="9" width="9.8984375" bestFit="1" customWidth="1"/>
  </cols>
  <sheetData>
    <row r="2" spans="1:9" x14ac:dyDescent="0.25">
      <c r="A2" s="35" t="s">
        <v>529</v>
      </c>
      <c r="B2" s="36" t="s">
        <v>499</v>
      </c>
      <c r="C2" s="42" t="s">
        <v>500</v>
      </c>
      <c r="D2" s="39" t="s">
        <v>259</v>
      </c>
      <c r="F2" s="5"/>
    </row>
    <row r="3" spans="1:9" x14ac:dyDescent="0.25">
      <c r="A3" s="11" t="s">
        <v>135</v>
      </c>
      <c r="B3" s="5">
        <v>121</v>
      </c>
      <c r="C3" s="43">
        <f>D3/32</f>
        <v>455.99999999965075</v>
      </c>
      <c r="D3" s="26">
        <v>14591.999999988824</v>
      </c>
    </row>
    <row r="4" spans="1:9" x14ac:dyDescent="0.25">
      <c r="A4" s="8" t="s">
        <v>488</v>
      </c>
      <c r="B4" s="4">
        <v>7</v>
      </c>
      <c r="C4" s="41">
        <f t="shared" ref="C4:C19" si="0">D4/32</f>
        <v>27.249999999650754</v>
      </c>
      <c r="D4" s="13">
        <v>871.99999998882413</v>
      </c>
      <c r="F4" s="35" t="s">
        <v>529</v>
      </c>
      <c r="G4" s="36" t="s">
        <v>499</v>
      </c>
      <c r="H4" s="42" t="s">
        <v>500</v>
      </c>
      <c r="I4" s="39" t="s">
        <v>259</v>
      </c>
    </row>
    <row r="5" spans="1:9" x14ac:dyDescent="0.25">
      <c r="A5" s="8" t="s">
        <v>489</v>
      </c>
      <c r="B5" s="4">
        <v>8</v>
      </c>
      <c r="C5" s="41">
        <f t="shared" si="0"/>
        <v>31.75</v>
      </c>
      <c r="D5" s="13">
        <v>1016</v>
      </c>
      <c r="F5" s="11" t="s">
        <v>135</v>
      </c>
      <c r="G5" s="5">
        <v>121</v>
      </c>
      <c r="H5" s="43">
        <f>I5/32</f>
        <v>455.99999999965075</v>
      </c>
      <c r="I5" s="26">
        <v>14591.999999988824</v>
      </c>
    </row>
    <row r="6" spans="1:9" x14ac:dyDescent="0.25">
      <c r="A6" s="8" t="s">
        <v>490</v>
      </c>
      <c r="B6" s="4">
        <v>7</v>
      </c>
      <c r="C6" s="41">
        <f t="shared" si="0"/>
        <v>29.166666666666664</v>
      </c>
      <c r="D6" s="13">
        <v>933.33333333333326</v>
      </c>
      <c r="F6" s="11" t="s">
        <v>17</v>
      </c>
      <c r="G6" s="5">
        <v>21</v>
      </c>
      <c r="H6" s="43">
        <f>I6/35</f>
        <v>27.666666666666668</v>
      </c>
      <c r="I6" s="26">
        <v>968.33333333333337</v>
      </c>
    </row>
    <row r="7" spans="1:9" x14ac:dyDescent="0.25">
      <c r="A7" s="8" t="s">
        <v>491</v>
      </c>
      <c r="B7" s="4">
        <v>7</v>
      </c>
      <c r="C7" s="41">
        <f t="shared" si="0"/>
        <v>26.250000000000007</v>
      </c>
      <c r="D7" s="13">
        <v>840.00000000000023</v>
      </c>
      <c r="F7" s="11" t="s">
        <v>13</v>
      </c>
      <c r="G7" s="5">
        <v>67</v>
      </c>
      <c r="H7" s="43">
        <f t="shared" ref="H7:H24" si="1">I7/35</f>
        <v>300.63333333120676</v>
      </c>
      <c r="I7" s="26">
        <v>10522.166666592237</v>
      </c>
    </row>
    <row r="8" spans="1:9" x14ac:dyDescent="0.25">
      <c r="A8" s="8" t="s">
        <v>482</v>
      </c>
      <c r="B8" s="4">
        <v>8</v>
      </c>
      <c r="C8" s="41">
        <f t="shared" si="0"/>
        <v>33.333333333333329</v>
      </c>
      <c r="D8" s="13">
        <v>1066.6666666666665</v>
      </c>
      <c r="F8" s="11" t="s">
        <v>530</v>
      </c>
      <c r="G8" s="5">
        <v>17</v>
      </c>
      <c r="H8" s="43">
        <f t="shared" si="1"/>
        <v>80.416666678793263</v>
      </c>
      <c r="I8" s="26">
        <v>2814.5833337577642</v>
      </c>
    </row>
    <row r="9" spans="1:9" x14ac:dyDescent="0.25">
      <c r="A9" s="8" t="s">
        <v>483</v>
      </c>
      <c r="B9" s="4">
        <v>8</v>
      </c>
      <c r="C9" s="41">
        <f t="shared" si="0"/>
        <v>33.333333333333336</v>
      </c>
      <c r="D9" s="13">
        <v>1066.6666666666667</v>
      </c>
      <c r="F9" s="11" t="s">
        <v>263</v>
      </c>
      <c r="G9" s="5">
        <v>7</v>
      </c>
      <c r="H9" s="43">
        <f t="shared" si="1"/>
        <v>33.250000000000007</v>
      </c>
      <c r="I9" s="26">
        <v>1163.7500000000002</v>
      </c>
    </row>
    <row r="10" spans="1:9" x14ac:dyDescent="0.25">
      <c r="A10" s="8" t="s">
        <v>478</v>
      </c>
      <c r="B10" s="4">
        <v>6</v>
      </c>
      <c r="C10" s="41">
        <f t="shared" si="0"/>
        <v>24.333333333333332</v>
      </c>
      <c r="D10" s="13">
        <v>778.66666666666663</v>
      </c>
      <c r="F10" s="11" t="s">
        <v>532</v>
      </c>
      <c r="G10" s="5">
        <v>85</v>
      </c>
      <c r="H10" s="43">
        <f t="shared" si="1"/>
        <v>356.43333333333334</v>
      </c>
      <c r="I10" s="26">
        <v>12475.166666666666</v>
      </c>
    </row>
    <row r="11" spans="1:9" x14ac:dyDescent="0.25">
      <c r="A11" s="8" t="s">
        <v>479</v>
      </c>
      <c r="B11" s="4">
        <v>7</v>
      </c>
      <c r="C11" s="41">
        <f t="shared" si="0"/>
        <v>25.083333333333332</v>
      </c>
      <c r="D11" s="13">
        <v>802.66666666666663</v>
      </c>
      <c r="F11" s="11" t="s">
        <v>533</v>
      </c>
      <c r="G11" s="5">
        <v>5</v>
      </c>
      <c r="H11" s="43">
        <f t="shared" si="1"/>
        <v>16.916666666666671</v>
      </c>
      <c r="I11" s="26">
        <v>592.08333333333348</v>
      </c>
    </row>
    <row r="12" spans="1:9" x14ac:dyDescent="0.25">
      <c r="A12" s="8" t="s">
        <v>484</v>
      </c>
      <c r="B12" s="4">
        <v>11</v>
      </c>
      <c r="C12" s="41">
        <f t="shared" si="0"/>
        <v>23.333333333333329</v>
      </c>
      <c r="D12" s="13">
        <v>746.66666666666652</v>
      </c>
      <c r="F12" s="11" t="s">
        <v>389</v>
      </c>
      <c r="G12" s="5">
        <v>71</v>
      </c>
      <c r="H12" s="43">
        <f t="shared" si="1"/>
        <v>311.89999998576241</v>
      </c>
      <c r="I12" s="26">
        <v>10916.499999501684</v>
      </c>
    </row>
    <row r="13" spans="1:9" x14ac:dyDescent="0.25">
      <c r="A13" s="8" t="s">
        <v>480</v>
      </c>
      <c r="B13" s="4">
        <v>7</v>
      </c>
      <c r="C13" s="41">
        <f t="shared" si="0"/>
        <v>26.166666666666671</v>
      </c>
      <c r="D13" s="13">
        <v>837.33333333333348</v>
      </c>
      <c r="F13" s="11" t="s">
        <v>534</v>
      </c>
      <c r="G13" s="5">
        <v>3</v>
      </c>
      <c r="H13" s="43">
        <f t="shared" si="1"/>
        <v>12.416666666666668</v>
      </c>
      <c r="I13" s="26">
        <v>434.58333333333337</v>
      </c>
    </row>
    <row r="14" spans="1:9" x14ac:dyDescent="0.25">
      <c r="A14" s="8" t="s">
        <v>502</v>
      </c>
      <c r="B14" s="4">
        <v>7</v>
      </c>
      <c r="C14" s="41">
        <f t="shared" si="0"/>
        <v>26</v>
      </c>
      <c r="D14" s="13">
        <v>832</v>
      </c>
      <c r="F14" s="11" t="s">
        <v>536</v>
      </c>
      <c r="G14" s="5">
        <v>26</v>
      </c>
      <c r="H14" s="43">
        <f t="shared" si="1"/>
        <v>96.083333333333329</v>
      </c>
      <c r="I14" s="26">
        <v>3362.9166666666665</v>
      </c>
    </row>
    <row r="15" spans="1:9" x14ac:dyDescent="0.25">
      <c r="A15" s="8" t="s">
        <v>503</v>
      </c>
      <c r="B15" s="4">
        <v>6</v>
      </c>
      <c r="C15" s="41">
        <f t="shared" si="0"/>
        <v>19.750000000000004</v>
      </c>
      <c r="D15" s="13">
        <v>632.00000000000011</v>
      </c>
      <c r="F15" s="11" t="s">
        <v>537</v>
      </c>
      <c r="G15" s="5">
        <v>30</v>
      </c>
      <c r="H15" s="43">
        <f t="shared" si="1"/>
        <v>116.83333333333331</v>
      </c>
      <c r="I15" s="26">
        <v>4089.1666666666661</v>
      </c>
    </row>
    <row r="16" spans="1:9" x14ac:dyDescent="0.25">
      <c r="A16" s="8" t="s">
        <v>485</v>
      </c>
      <c r="B16" s="4">
        <v>8</v>
      </c>
      <c r="C16" s="41">
        <f t="shared" si="0"/>
        <v>33.333333333333336</v>
      </c>
      <c r="D16" s="13">
        <v>1066.6666666666667</v>
      </c>
      <c r="F16" s="11" t="s">
        <v>535</v>
      </c>
      <c r="G16" s="5">
        <v>27</v>
      </c>
      <c r="H16" s="43">
        <f t="shared" si="1"/>
        <v>119</v>
      </c>
      <c r="I16" s="26">
        <v>4165</v>
      </c>
    </row>
    <row r="17" spans="1:9" x14ac:dyDescent="0.25">
      <c r="A17" s="8" t="s">
        <v>486</v>
      </c>
      <c r="B17" s="4">
        <v>9</v>
      </c>
      <c r="C17" s="41">
        <f t="shared" si="0"/>
        <v>35.916666666666671</v>
      </c>
      <c r="D17" s="13">
        <v>1149.3333333333335</v>
      </c>
      <c r="F17" s="11" t="s">
        <v>538</v>
      </c>
      <c r="G17" s="5">
        <v>4</v>
      </c>
      <c r="H17" s="43">
        <f t="shared" si="1"/>
        <v>16.666666666666664</v>
      </c>
      <c r="I17" s="26">
        <v>583.33333333333326</v>
      </c>
    </row>
    <row r="18" spans="1:9" x14ac:dyDescent="0.25">
      <c r="A18" s="8" t="s">
        <v>481</v>
      </c>
      <c r="B18" s="4">
        <v>7</v>
      </c>
      <c r="C18" s="41">
        <f t="shared" si="0"/>
        <v>30.333333333333343</v>
      </c>
      <c r="D18" s="13">
        <v>970.66666666666697</v>
      </c>
      <c r="F18" s="11" t="s">
        <v>136</v>
      </c>
      <c r="G18" s="5">
        <v>113</v>
      </c>
      <c r="H18" s="43">
        <f t="shared" si="1"/>
        <v>477.38333335650782</v>
      </c>
      <c r="I18" s="26">
        <v>16708.416667477773</v>
      </c>
    </row>
    <row r="19" spans="1:9" x14ac:dyDescent="0.25">
      <c r="A19" s="8" t="s">
        <v>487</v>
      </c>
      <c r="B19" s="4">
        <v>8</v>
      </c>
      <c r="C19" s="41">
        <f t="shared" si="0"/>
        <v>30.666666666666657</v>
      </c>
      <c r="D19" s="13">
        <v>981.33333333333303</v>
      </c>
      <c r="F19" s="11" t="s">
        <v>137</v>
      </c>
      <c r="G19" s="5">
        <v>94</v>
      </c>
      <c r="H19" s="43">
        <f t="shared" si="1"/>
        <v>383.00000000238657</v>
      </c>
      <c r="I19" s="26">
        <v>13405.00000008353</v>
      </c>
    </row>
    <row r="20" spans="1:9" x14ac:dyDescent="0.25">
      <c r="A20" s="11" t="s">
        <v>17</v>
      </c>
      <c r="B20" s="5">
        <v>21</v>
      </c>
      <c r="C20" s="43">
        <f>D20/35</f>
        <v>27.666666666666668</v>
      </c>
      <c r="D20" s="26">
        <v>968.33333333333337</v>
      </c>
      <c r="F20" s="11" t="s">
        <v>139</v>
      </c>
      <c r="G20" s="5">
        <v>154</v>
      </c>
      <c r="H20" s="43">
        <f>I20/32</f>
        <v>617.91666668228584</v>
      </c>
      <c r="I20" s="26">
        <v>19773.333333833147</v>
      </c>
    </row>
    <row r="21" spans="1:9" x14ac:dyDescent="0.25">
      <c r="A21" s="8" t="s">
        <v>488</v>
      </c>
      <c r="B21" s="4">
        <v>2</v>
      </c>
      <c r="C21" s="41">
        <f t="shared" ref="C21:C84" si="2">D21/35</f>
        <v>0.99999999999999922</v>
      </c>
      <c r="D21" s="13">
        <v>34.999999999999972</v>
      </c>
      <c r="F21" s="11" t="s">
        <v>264</v>
      </c>
      <c r="G21" s="5">
        <v>96</v>
      </c>
      <c r="H21" s="43">
        <f t="shared" si="1"/>
        <v>371.86666666666667</v>
      </c>
      <c r="I21" s="26">
        <v>13015.333333333334</v>
      </c>
    </row>
    <row r="22" spans="1:9" x14ac:dyDescent="0.25">
      <c r="A22" s="8" t="s">
        <v>489</v>
      </c>
      <c r="B22" s="4">
        <v>2</v>
      </c>
      <c r="C22" s="41">
        <f t="shared" si="2"/>
        <v>1.0000000000000018</v>
      </c>
      <c r="D22" s="13">
        <v>35.000000000000064</v>
      </c>
      <c r="F22" s="11" t="s">
        <v>11</v>
      </c>
      <c r="G22" s="5">
        <v>7</v>
      </c>
      <c r="H22" s="43">
        <f t="shared" si="1"/>
        <v>30.25</v>
      </c>
      <c r="I22" s="26">
        <v>1058.75</v>
      </c>
    </row>
    <row r="23" spans="1:9" x14ac:dyDescent="0.25">
      <c r="A23" s="8" t="s">
        <v>490</v>
      </c>
      <c r="B23" s="4">
        <v>2</v>
      </c>
      <c r="C23" s="41">
        <f t="shared" si="2"/>
        <v>5.0000000000000009</v>
      </c>
      <c r="D23" s="13">
        <v>175.00000000000003</v>
      </c>
      <c r="F23" s="11" t="s">
        <v>539</v>
      </c>
      <c r="G23" s="5">
        <v>66</v>
      </c>
      <c r="H23" s="43">
        <f t="shared" ref="H23" si="3">I23/32</f>
        <v>255.08333333333334</v>
      </c>
      <c r="I23" s="26">
        <v>8162.666666666667</v>
      </c>
    </row>
    <row r="24" spans="1:9" x14ac:dyDescent="0.25">
      <c r="A24" s="8" t="s">
        <v>491</v>
      </c>
      <c r="B24" s="4">
        <v>2</v>
      </c>
      <c r="C24" s="41">
        <f t="shared" si="2"/>
        <v>1.5</v>
      </c>
      <c r="D24" s="13">
        <v>52.5</v>
      </c>
      <c r="F24" s="11" t="s">
        <v>260</v>
      </c>
      <c r="G24" s="5">
        <v>7</v>
      </c>
      <c r="H24" s="43">
        <f t="shared" si="1"/>
        <v>29.75</v>
      </c>
      <c r="I24" s="26">
        <v>1041.25</v>
      </c>
    </row>
    <row r="25" spans="1:9" x14ac:dyDescent="0.25">
      <c r="A25" s="8" t="s">
        <v>482</v>
      </c>
      <c r="B25" s="4">
        <v>1</v>
      </c>
      <c r="C25" s="41">
        <f t="shared" si="2"/>
        <v>0.24999999999999908</v>
      </c>
      <c r="D25" s="13">
        <v>8.749999999999968</v>
      </c>
      <c r="F25" s="11" t="s">
        <v>540</v>
      </c>
      <c r="G25" s="5">
        <v>115</v>
      </c>
      <c r="H25" s="43">
        <f>I25/35</f>
        <v>481.90000000000009</v>
      </c>
      <c r="I25" s="26">
        <v>16866.500000000004</v>
      </c>
    </row>
    <row r="26" spans="1:9" x14ac:dyDescent="0.25">
      <c r="A26" s="8" t="s">
        <v>483</v>
      </c>
      <c r="B26" s="4">
        <v>1</v>
      </c>
      <c r="C26" s="41">
        <f t="shared" si="2"/>
        <v>3</v>
      </c>
      <c r="D26" s="13">
        <v>105</v>
      </c>
      <c r="F26" s="11" t="s">
        <v>541</v>
      </c>
      <c r="G26" s="5">
        <v>65</v>
      </c>
      <c r="H26" s="43">
        <f t="shared" ref="H26" si="4">I26/35</f>
        <v>263.25</v>
      </c>
      <c r="I26" s="26">
        <v>9213.75</v>
      </c>
    </row>
    <row r="27" spans="1:9" x14ac:dyDescent="0.25">
      <c r="A27" s="8" t="s">
        <v>478</v>
      </c>
      <c r="B27" s="4">
        <v>1</v>
      </c>
      <c r="C27" s="41">
        <f t="shared" si="2"/>
        <v>1.5</v>
      </c>
      <c r="D27" s="13">
        <v>52.5</v>
      </c>
      <c r="I27" s="48">
        <f>SUM(I5:I26)</f>
        <v>165924.58333456828</v>
      </c>
    </row>
    <row r="28" spans="1:9" x14ac:dyDescent="0.25">
      <c r="A28" s="8" t="s">
        <v>479</v>
      </c>
      <c r="B28" s="4">
        <v>1</v>
      </c>
      <c r="C28" s="41">
        <f t="shared" si="2"/>
        <v>1.2500000000000009</v>
      </c>
      <c r="D28" s="13">
        <v>43.750000000000028</v>
      </c>
    </row>
    <row r="29" spans="1:9" x14ac:dyDescent="0.25">
      <c r="A29" s="8" t="s">
        <v>484</v>
      </c>
      <c r="B29" s="4">
        <v>1</v>
      </c>
      <c r="C29" s="41">
        <f t="shared" si="2"/>
        <v>2.25</v>
      </c>
      <c r="D29" s="13">
        <v>78.75</v>
      </c>
    </row>
    <row r="30" spans="1:9" x14ac:dyDescent="0.25">
      <c r="A30" s="8" t="s">
        <v>480</v>
      </c>
      <c r="B30" s="4">
        <v>1</v>
      </c>
      <c r="C30" s="41">
        <f t="shared" si="2"/>
        <v>1.2500000000000009</v>
      </c>
      <c r="D30" s="13">
        <v>43.750000000000028</v>
      </c>
    </row>
    <row r="31" spans="1:9" x14ac:dyDescent="0.25">
      <c r="A31" s="8" t="s">
        <v>502</v>
      </c>
      <c r="B31" s="4">
        <v>1</v>
      </c>
      <c r="C31" s="41">
        <f t="shared" si="2"/>
        <v>1.2500000000000009</v>
      </c>
      <c r="D31" s="13">
        <v>43.750000000000028</v>
      </c>
    </row>
    <row r="32" spans="1:9" x14ac:dyDescent="0.25">
      <c r="A32" s="8" t="s">
        <v>503</v>
      </c>
      <c r="B32" s="4">
        <v>1</v>
      </c>
      <c r="C32" s="41">
        <f t="shared" si="2"/>
        <v>1.1666666666666665</v>
      </c>
      <c r="D32" s="13">
        <v>40.833333333333329</v>
      </c>
    </row>
    <row r="33" spans="1:4" x14ac:dyDescent="0.25">
      <c r="A33" s="8" t="s">
        <v>485</v>
      </c>
      <c r="B33" s="4">
        <v>2</v>
      </c>
      <c r="C33" s="41">
        <f t="shared" si="2"/>
        <v>3</v>
      </c>
      <c r="D33" s="13">
        <v>105</v>
      </c>
    </row>
    <row r="34" spans="1:4" x14ac:dyDescent="0.25">
      <c r="A34" s="8" t="s">
        <v>486</v>
      </c>
      <c r="B34" s="4">
        <v>1</v>
      </c>
      <c r="C34" s="41">
        <f t="shared" si="2"/>
        <v>1.5</v>
      </c>
      <c r="D34" s="13">
        <v>52.5</v>
      </c>
    </row>
    <row r="35" spans="1:4" x14ac:dyDescent="0.25">
      <c r="A35" s="8" t="s">
        <v>481</v>
      </c>
      <c r="B35" s="4">
        <v>1</v>
      </c>
      <c r="C35" s="41">
        <f t="shared" si="2"/>
        <v>1.7500000000000004</v>
      </c>
      <c r="D35" s="13">
        <v>61.250000000000014</v>
      </c>
    </row>
    <row r="36" spans="1:4" x14ac:dyDescent="0.25">
      <c r="A36" s="8" t="s">
        <v>487</v>
      </c>
      <c r="B36" s="4">
        <v>1</v>
      </c>
      <c r="C36" s="41">
        <f t="shared" si="2"/>
        <v>1.0000000000000004</v>
      </c>
      <c r="D36" s="13">
        <v>35.000000000000014</v>
      </c>
    </row>
    <row r="37" spans="1:4" x14ac:dyDescent="0.25">
      <c r="A37" s="11" t="s">
        <v>13</v>
      </c>
      <c r="B37" s="5">
        <v>67</v>
      </c>
      <c r="C37" s="43">
        <f t="shared" si="2"/>
        <v>300.63333333120676</v>
      </c>
      <c r="D37" s="26">
        <v>10522.166666592237</v>
      </c>
    </row>
    <row r="38" spans="1:4" x14ac:dyDescent="0.25">
      <c r="A38" s="8" t="s">
        <v>488</v>
      </c>
      <c r="B38" s="4">
        <v>5</v>
      </c>
      <c r="C38" s="41">
        <f t="shared" si="2"/>
        <v>23.583333331206813</v>
      </c>
      <c r="D38" s="13">
        <v>825.41666659223847</v>
      </c>
    </row>
    <row r="39" spans="1:4" x14ac:dyDescent="0.25">
      <c r="A39" s="8" t="s">
        <v>489</v>
      </c>
      <c r="B39" s="4">
        <v>4</v>
      </c>
      <c r="C39" s="41">
        <f t="shared" si="2"/>
        <v>17.300000000000004</v>
      </c>
      <c r="D39" s="13">
        <v>605.50000000000011</v>
      </c>
    </row>
    <row r="40" spans="1:4" x14ac:dyDescent="0.25">
      <c r="A40" s="8" t="s">
        <v>490</v>
      </c>
      <c r="B40" s="4">
        <v>5</v>
      </c>
      <c r="C40" s="41">
        <f t="shared" si="2"/>
        <v>24.166666666666664</v>
      </c>
      <c r="D40" s="13">
        <v>845.83333333333326</v>
      </c>
    </row>
    <row r="41" spans="1:4" x14ac:dyDescent="0.25">
      <c r="A41" s="8" t="s">
        <v>491</v>
      </c>
      <c r="B41" s="4">
        <v>5</v>
      </c>
      <c r="C41" s="41">
        <f t="shared" si="2"/>
        <v>21.083333333333336</v>
      </c>
      <c r="D41" s="13">
        <v>737.91666666666674</v>
      </c>
    </row>
    <row r="42" spans="1:4" x14ac:dyDescent="0.25">
      <c r="A42" s="8" t="s">
        <v>482</v>
      </c>
      <c r="B42" s="4">
        <v>5</v>
      </c>
      <c r="C42" s="41">
        <f t="shared" si="2"/>
        <v>21.88333333333334</v>
      </c>
      <c r="D42" s="13">
        <v>765.91666666666686</v>
      </c>
    </row>
    <row r="43" spans="1:4" x14ac:dyDescent="0.25">
      <c r="A43" s="8" t="s">
        <v>483</v>
      </c>
      <c r="B43" s="4">
        <v>5</v>
      </c>
      <c r="C43" s="41">
        <f t="shared" si="2"/>
        <v>23.75</v>
      </c>
      <c r="D43" s="13">
        <v>831.25</v>
      </c>
    </row>
    <row r="44" spans="1:4" x14ac:dyDescent="0.25">
      <c r="A44" s="8" t="s">
        <v>478</v>
      </c>
      <c r="B44" s="4">
        <v>5</v>
      </c>
      <c r="C44" s="41">
        <f t="shared" si="2"/>
        <v>23.250000000000004</v>
      </c>
      <c r="D44" s="13">
        <v>813.75000000000011</v>
      </c>
    </row>
    <row r="45" spans="1:4" x14ac:dyDescent="0.25">
      <c r="A45" s="8" t="s">
        <v>479</v>
      </c>
      <c r="B45" s="4">
        <v>4</v>
      </c>
      <c r="C45" s="41">
        <f t="shared" si="2"/>
        <v>17.666666666666664</v>
      </c>
      <c r="D45" s="13">
        <v>618.33333333333326</v>
      </c>
    </row>
    <row r="46" spans="1:4" x14ac:dyDescent="0.25">
      <c r="A46" s="8" t="s">
        <v>484</v>
      </c>
      <c r="B46" s="4">
        <v>3</v>
      </c>
      <c r="C46" s="41">
        <f t="shared" si="2"/>
        <v>8.4999999999999982</v>
      </c>
      <c r="D46" s="13">
        <v>297.49999999999994</v>
      </c>
    </row>
    <row r="47" spans="1:4" x14ac:dyDescent="0.25">
      <c r="A47" s="8" t="s">
        <v>480</v>
      </c>
      <c r="B47" s="4">
        <v>4</v>
      </c>
      <c r="C47" s="41">
        <f t="shared" si="2"/>
        <v>18.366666666666664</v>
      </c>
      <c r="D47" s="13">
        <v>642.83333333333326</v>
      </c>
    </row>
    <row r="48" spans="1:4" x14ac:dyDescent="0.25">
      <c r="A48" s="8" t="s">
        <v>502</v>
      </c>
      <c r="B48" s="4">
        <v>4</v>
      </c>
      <c r="C48" s="41">
        <f t="shared" si="2"/>
        <v>19.733333333333334</v>
      </c>
      <c r="D48" s="13">
        <v>690.66666666666674</v>
      </c>
    </row>
    <row r="49" spans="1:5" x14ac:dyDescent="0.25">
      <c r="A49" s="8" t="s">
        <v>503</v>
      </c>
      <c r="B49" s="4">
        <v>3</v>
      </c>
      <c r="C49" s="41">
        <f t="shared" si="2"/>
        <v>13.749999999999996</v>
      </c>
      <c r="D49" s="13">
        <v>481.24999999999989</v>
      </c>
    </row>
    <row r="50" spans="1:5" x14ac:dyDescent="0.25">
      <c r="A50" s="8" t="s">
        <v>485</v>
      </c>
      <c r="B50" s="4">
        <v>5</v>
      </c>
      <c r="C50" s="41">
        <f t="shared" si="2"/>
        <v>21.88333333333334</v>
      </c>
      <c r="D50" s="13">
        <v>765.91666666666686</v>
      </c>
    </row>
    <row r="51" spans="1:5" x14ac:dyDescent="0.25">
      <c r="A51" s="8" t="s">
        <v>486</v>
      </c>
      <c r="B51" s="4">
        <v>4</v>
      </c>
      <c r="C51" s="41">
        <f t="shared" si="2"/>
        <v>18.333333333333336</v>
      </c>
      <c r="D51" s="13">
        <v>641.66666666666674</v>
      </c>
    </row>
    <row r="52" spans="1:5" x14ac:dyDescent="0.25">
      <c r="A52" s="8" t="s">
        <v>481</v>
      </c>
      <c r="B52" s="4">
        <v>2</v>
      </c>
      <c r="C52" s="41">
        <f t="shared" si="2"/>
        <v>9.2500000000000018</v>
      </c>
      <c r="D52" s="13">
        <v>323.75000000000006</v>
      </c>
    </row>
    <row r="53" spans="1:5" x14ac:dyDescent="0.25">
      <c r="A53" s="8" t="s">
        <v>487</v>
      </c>
      <c r="B53" s="4">
        <v>4</v>
      </c>
      <c r="C53" s="41">
        <f t="shared" si="2"/>
        <v>18.133333333333336</v>
      </c>
      <c r="D53" s="13">
        <v>634.66666666666674</v>
      </c>
    </row>
    <row r="54" spans="1:5" x14ac:dyDescent="0.25">
      <c r="A54" s="11" t="s">
        <v>530</v>
      </c>
      <c r="B54" s="5">
        <v>17</v>
      </c>
      <c r="C54" s="43">
        <f t="shared" si="2"/>
        <v>80.416666678793263</v>
      </c>
      <c r="D54" s="26">
        <v>2814.5833337577642</v>
      </c>
    </row>
    <row r="55" spans="1:5" x14ac:dyDescent="0.25">
      <c r="A55" s="8" t="s">
        <v>488</v>
      </c>
      <c r="B55" s="4">
        <v>17</v>
      </c>
      <c r="C55" s="41">
        <f t="shared" si="2"/>
        <v>80.416666678793263</v>
      </c>
      <c r="D55" s="13">
        <v>2814.5833337577642</v>
      </c>
    </row>
    <row r="56" spans="1:5" x14ac:dyDescent="0.25">
      <c r="A56" s="44" t="s">
        <v>531</v>
      </c>
      <c r="B56" s="45">
        <v>3</v>
      </c>
      <c r="C56" s="46">
        <f t="shared" si="2"/>
        <v>2.0000000000000009</v>
      </c>
      <c r="D56" s="47">
        <v>70.000000000000028</v>
      </c>
      <c r="E56" s="1" t="s">
        <v>548</v>
      </c>
    </row>
    <row r="57" spans="1:5" x14ac:dyDescent="0.25">
      <c r="A57" s="8" t="s">
        <v>484</v>
      </c>
      <c r="B57" s="4">
        <v>3</v>
      </c>
      <c r="C57" s="41">
        <f t="shared" si="2"/>
        <v>2.0000000000000009</v>
      </c>
      <c r="D57" s="13">
        <v>70.000000000000028</v>
      </c>
    </row>
    <row r="58" spans="1:5" x14ac:dyDescent="0.25">
      <c r="A58" s="11" t="s">
        <v>263</v>
      </c>
      <c r="B58" s="5">
        <v>7</v>
      </c>
      <c r="C58" s="43">
        <f t="shared" si="2"/>
        <v>33.250000000000007</v>
      </c>
      <c r="D58" s="26">
        <v>1163.7500000000002</v>
      </c>
    </row>
    <row r="59" spans="1:5" x14ac:dyDescent="0.25">
      <c r="A59" s="8" t="s">
        <v>478</v>
      </c>
      <c r="B59" s="4">
        <v>7</v>
      </c>
      <c r="C59" s="41">
        <f t="shared" si="2"/>
        <v>33.250000000000007</v>
      </c>
      <c r="D59" s="13">
        <v>1163.7500000000002</v>
      </c>
    </row>
    <row r="60" spans="1:5" x14ac:dyDescent="0.25">
      <c r="A60" s="11" t="s">
        <v>532</v>
      </c>
      <c r="B60" s="5">
        <v>85</v>
      </c>
      <c r="C60" s="43">
        <f t="shared" si="2"/>
        <v>356.43333333333334</v>
      </c>
      <c r="D60" s="26">
        <v>12475.166666666666</v>
      </c>
    </row>
    <row r="61" spans="1:5" x14ac:dyDescent="0.25">
      <c r="A61" s="8" t="s">
        <v>490</v>
      </c>
      <c r="B61" s="4">
        <v>7</v>
      </c>
      <c r="C61" s="41">
        <f t="shared" si="2"/>
        <v>26.600000000000005</v>
      </c>
      <c r="D61" s="13">
        <v>931.00000000000011</v>
      </c>
    </row>
    <row r="62" spans="1:5" x14ac:dyDescent="0.25">
      <c r="A62" s="8" t="s">
        <v>491</v>
      </c>
      <c r="B62" s="4">
        <v>7</v>
      </c>
      <c r="C62" s="41">
        <f t="shared" si="2"/>
        <v>29.166666666666668</v>
      </c>
      <c r="D62" s="13">
        <v>1020.8333333333334</v>
      </c>
    </row>
    <row r="63" spans="1:5" x14ac:dyDescent="0.25">
      <c r="A63" s="8" t="s">
        <v>482</v>
      </c>
      <c r="B63" s="4">
        <v>7</v>
      </c>
      <c r="C63" s="41">
        <f t="shared" si="2"/>
        <v>30</v>
      </c>
      <c r="D63" s="13">
        <v>1050</v>
      </c>
    </row>
    <row r="64" spans="1:5" x14ac:dyDescent="0.25">
      <c r="A64" s="8" t="s">
        <v>483</v>
      </c>
      <c r="B64" s="4">
        <v>6</v>
      </c>
      <c r="C64" s="41">
        <f t="shared" si="2"/>
        <v>28.999999999999996</v>
      </c>
      <c r="D64" s="13">
        <v>1014.9999999999999</v>
      </c>
    </row>
    <row r="65" spans="1:4" x14ac:dyDescent="0.25">
      <c r="A65" s="8" t="s">
        <v>478</v>
      </c>
      <c r="B65" s="4">
        <v>6</v>
      </c>
      <c r="C65" s="41">
        <f t="shared" si="2"/>
        <v>27.333333333333336</v>
      </c>
      <c r="D65" s="13">
        <v>956.66666666666674</v>
      </c>
    </row>
    <row r="66" spans="1:4" x14ac:dyDescent="0.25">
      <c r="A66" s="8" t="s">
        <v>479</v>
      </c>
      <c r="B66" s="4">
        <v>7</v>
      </c>
      <c r="C66" s="41">
        <f t="shared" si="2"/>
        <v>32.083333333333336</v>
      </c>
      <c r="D66" s="13">
        <v>1122.9166666666667</v>
      </c>
    </row>
    <row r="67" spans="1:4" x14ac:dyDescent="0.25">
      <c r="A67" s="8" t="s">
        <v>484</v>
      </c>
      <c r="B67" s="4">
        <v>5</v>
      </c>
      <c r="C67" s="41">
        <f t="shared" si="2"/>
        <v>10.833333333333332</v>
      </c>
      <c r="D67" s="13">
        <v>379.16666666666663</v>
      </c>
    </row>
    <row r="68" spans="1:4" x14ac:dyDescent="0.25">
      <c r="A68" s="8" t="s">
        <v>480</v>
      </c>
      <c r="B68" s="4">
        <v>6</v>
      </c>
      <c r="C68" s="41">
        <f t="shared" si="2"/>
        <v>17.166666666666664</v>
      </c>
      <c r="D68" s="13">
        <v>600.83333333333326</v>
      </c>
    </row>
    <row r="69" spans="1:4" x14ac:dyDescent="0.25">
      <c r="A69" s="8" t="s">
        <v>502</v>
      </c>
      <c r="B69" s="4">
        <v>5</v>
      </c>
      <c r="C69" s="41">
        <f t="shared" si="2"/>
        <v>22.416666666666668</v>
      </c>
      <c r="D69" s="13">
        <v>784.58333333333337</v>
      </c>
    </row>
    <row r="70" spans="1:4" x14ac:dyDescent="0.25">
      <c r="A70" s="8" t="s">
        <v>503</v>
      </c>
      <c r="B70" s="4">
        <v>5</v>
      </c>
      <c r="C70" s="41">
        <f t="shared" si="2"/>
        <v>17.25</v>
      </c>
      <c r="D70" s="13">
        <v>603.75</v>
      </c>
    </row>
    <row r="71" spans="1:4" x14ac:dyDescent="0.25">
      <c r="A71" s="8" t="s">
        <v>485</v>
      </c>
      <c r="B71" s="4">
        <v>7</v>
      </c>
      <c r="C71" s="41">
        <f t="shared" si="2"/>
        <v>29.583333333333336</v>
      </c>
      <c r="D71" s="13">
        <v>1035.4166666666667</v>
      </c>
    </row>
    <row r="72" spans="1:4" x14ac:dyDescent="0.25">
      <c r="A72" s="8" t="s">
        <v>486</v>
      </c>
      <c r="B72" s="4">
        <v>6</v>
      </c>
      <c r="C72" s="41">
        <f t="shared" si="2"/>
        <v>30</v>
      </c>
      <c r="D72" s="13">
        <v>1050</v>
      </c>
    </row>
    <row r="73" spans="1:4" x14ac:dyDescent="0.25">
      <c r="A73" s="8" t="s">
        <v>481</v>
      </c>
      <c r="B73" s="4">
        <v>6</v>
      </c>
      <c r="C73" s="41">
        <f t="shared" si="2"/>
        <v>30</v>
      </c>
      <c r="D73" s="13">
        <v>1050</v>
      </c>
    </row>
    <row r="74" spans="1:4" x14ac:dyDescent="0.25">
      <c r="A74" s="8" t="s">
        <v>487</v>
      </c>
      <c r="B74" s="4">
        <v>5</v>
      </c>
      <c r="C74" s="41">
        <f t="shared" si="2"/>
        <v>25</v>
      </c>
      <c r="D74" s="13">
        <v>875</v>
      </c>
    </row>
    <row r="75" spans="1:4" x14ac:dyDescent="0.25">
      <c r="A75" s="11" t="s">
        <v>533</v>
      </c>
      <c r="B75" s="5">
        <v>5</v>
      </c>
      <c r="C75" s="43">
        <f t="shared" si="2"/>
        <v>16.916666666666671</v>
      </c>
      <c r="D75" s="26">
        <v>592.08333333333348</v>
      </c>
    </row>
    <row r="76" spans="1:4" x14ac:dyDescent="0.25">
      <c r="A76" s="8" t="s">
        <v>502</v>
      </c>
      <c r="B76" s="4">
        <v>3</v>
      </c>
      <c r="C76" s="41">
        <f t="shared" si="2"/>
        <v>10.750000000000005</v>
      </c>
      <c r="D76" s="13">
        <v>376.25000000000017</v>
      </c>
    </row>
    <row r="77" spans="1:4" x14ac:dyDescent="0.25">
      <c r="A77" s="8" t="s">
        <v>503</v>
      </c>
      <c r="B77" s="4">
        <v>2</v>
      </c>
      <c r="C77" s="41">
        <f t="shared" si="2"/>
        <v>6.1666666666666679</v>
      </c>
      <c r="D77" s="13">
        <v>215.83333333333337</v>
      </c>
    </row>
    <row r="78" spans="1:4" x14ac:dyDescent="0.25">
      <c r="A78" s="11" t="s">
        <v>389</v>
      </c>
      <c r="B78" s="5">
        <v>71</v>
      </c>
      <c r="C78" s="43">
        <f t="shared" si="2"/>
        <v>311.89999998576241</v>
      </c>
      <c r="D78" s="26">
        <v>10916.499999501684</v>
      </c>
    </row>
    <row r="79" spans="1:4" x14ac:dyDescent="0.25">
      <c r="A79" s="8" t="s">
        <v>488</v>
      </c>
      <c r="B79" s="4">
        <v>7</v>
      </c>
      <c r="C79" s="41">
        <f t="shared" si="2"/>
        <v>34.416666666666664</v>
      </c>
      <c r="D79" s="13">
        <v>1204.5833333333333</v>
      </c>
    </row>
    <row r="80" spans="1:4" x14ac:dyDescent="0.25">
      <c r="A80" s="8" t="s">
        <v>489</v>
      </c>
      <c r="B80" s="4">
        <v>5</v>
      </c>
      <c r="C80" s="41">
        <f t="shared" si="2"/>
        <v>21.250000000000011</v>
      </c>
      <c r="D80" s="13">
        <v>743.75000000000034</v>
      </c>
    </row>
    <row r="81" spans="1:4" x14ac:dyDescent="0.25">
      <c r="A81" s="8" t="s">
        <v>483</v>
      </c>
      <c r="B81" s="4">
        <v>5</v>
      </c>
      <c r="C81" s="41">
        <f t="shared" si="2"/>
        <v>23.083333331451286</v>
      </c>
      <c r="D81" s="13">
        <v>807.916666600795</v>
      </c>
    </row>
    <row r="82" spans="1:4" x14ac:dyDescent="0.25">
      <c r="A82" s="8" t="s">
        <v>478</v>
      </c>
      <c r="B82" s="4">
        <v>6</v>
      </c>
      <c r="C82" s="41">
        <f t="shared" si="2"/>
        <v>27.833333331160247</v>
      </c>
      <c r="D82" s="13">
        <v>974.16666659060866</v>
      </c>
    </row>
    <row r="83" spans="1:4" x14ac:dyDescent="0.25">
      <c r="A83" s="8" t="s">
        <v>479</v>
      </c>
      <c r="B83" s="4">
        <v>7</v>
      </c>
      <c r="C83" s="41">
        <f t="shared" si="2"/>
        <v>29.800000001734588</v>
      </c>
      <c r="D83" s="13">
        <v>1043.0000000607106</v>
      </c>
    </row>
    <row r="84" spans="1:4" x14ac:dyDescent="0.25">
      <c r="A84" s="8" t="s">
        <v>484</v>
      </c>
      <c r="B84" s="4">
        <v>6</v>
      </c>
      <c r="C84" s="41">
        <f t="shared" si="2"/>
        <v>13.999999999534339</v>
      </c>
      <c r="D84" s="13">
        <v>489.99999998370185</v>
      </c>
    </row>
    <row r="85" spans="1:4" x14ac:dyDescent="0.25">
      <c r="A85" s="8" t="s">
        <v>480</v>
      </c>
      <c r="B85" s="4">
        <v>4</v>
      </c>
      <c r="C85" s="41">
        <f t="shared" ref="C85:C148" si="5">D85/35</f>
        <v>19.666666666666668</v>
      </c>
      <c r="D85" s="13">
        <v>688.33333333333337</v>
      </c>
    </row>
    <row r="86" spans="1:4" x14ac:dyDescent="0.25">
      <c r="A86" s="8" t="s">
        <v>502</v>
      </c>
      <c r="B86" s="4">
        <v>5</v>
      </c>
      <c r="C86" s="41">
        <f t="shared" si="5"/>
        <v>24.166666666666664</v>
      </c>
      <c r="D86" s="13">
        <v>845.83333333333326</v>
      </c>
    </row>
    <row r="87" spans="1:4" x14ac:dyDescent="0.25">
      <c r="A87" s="8" t="s">
        <v>503</v>
      </c>
      <c r="B87" s="4">
        <v>5</v>
      </c>
      <c r="C87" s="41">
        <f t="shared" si="5"/>
        <v>20.000000000000004</v>
      </c>
      <c r="D87" s="13">
        <v>700.00000000000011</v>
      </c>
    </row>
    <row r="88" spans="1:4" x14ac:dyDescent="0.25">
      <c r="A88" s="8" t="s">
        <v>485</v>
      </c>
      <c r="B88" s="4">
        <v>6</v>
      </c>
      <c r="C88" s="41">
        <f t="shared" si="5"/>
        <v>27.500000001280569</v>
      </c>
      <c r="D88" s="13">
        <v>962.5000000448199</v>
      </c>
    </row>
    <row r="89" spans="1:4" x14ac:dyDescent="0.25">
      <c r="A89" s="8" t="s">
        <v>486</v>
      </c>
      <c r="B89" s="4">
        <v>5</v>
      </c>
      <c r="C89" s="41">
        <f t="shared" si="5"/>
        <v>22.916666667733807</v>
      </c>
      <c r="D89" s="13">
        <v>802.08333337068325</v>
      </c>
    </row>
    <row r="90" spans="1:4" x14ac:dyDescent="0.25">
      <c r="A90" s="8" t="s">
        <v>481</v>
      </c>
      <c r="B90" s="4">
        <v>6</v>
      </c>
      <c r="C90" s="41">
        <f t="shared" si="5"/>
        <v>28.666666658828035</v>
      </c>
      <c r="D90" s="13">
        <v>1003.3333330589812</v>
      </c>
    </row>
    <row r="91" spans="1:4" x14ac:dyDescent="0.25">
      <c r="A91" s="8" t="s">
        <v>487</v>
      </c>
      <c r="B91" s="4">
        <v>4</v>
      </c>
      <c r="C91" s="41">
        <f t="shared" si="5"/>
        <v>18.599999994039536</v>
      </c>
      <c r="D91" s="13">
        <v>650.99999979138374</v>
      </c>
    </row>
    <row r="92" spans="1:4" x14ac:dyDescent="0.25">
      <c r="A92" s="11" t="s">
        <v>534</v>
      </c>
      <c r="B92" s="5">
        <v>3</v>
      </c>
      <c r="C92" s="43">
        <f t="shared" si="5"/>
        <v>12.416666666666668</v>
      </c>
      <c r="D92" s="26">
        <v>434.58333333333337</v>
      </c>
    </row>
    <row r="93" spans="1:4" x14ac:dyDescent="0.25">
      <c r="A93" s="8" t="s">
        <v>478</v>
      </c>
      <c r="B93" s="4">
        <v>2</v>
      </c>
      <c r="C93" s="41">
        <f t="shared" si="5"/>
        <v>8.1666666666666679</v>
      </c>
      <c r="D93" s="13">
        <v>285.83333333333337</v>
      </c>
    </row>
    <row r="94" spans="1:4" x14ac:dyDescent="0.25">
      <c r="A94" s="8" t="s">
        <v>481</v>
      </c>
      <c r="B94" s="4">
        <v>1</v>
      </c>
      <c r="C94" s="41">
        <f t="shared" si="5"/>
        <v>4.25</v>
      </c>
      <c r="D94" s="13">
        <v>148.75</v>
      </c>
    </row>
    <row r="95" spans="1:4" x14ac:dyDescent="0.25">
      <c r="A95" s="11" t="s">
        <v>535</v>
      </c>
      <c r="B95" s="5">
        <v>27</v>
      </c>
      <c r="C95" s="43">
        <f t="shared" si="5"/>
        <v>119</v>
      </c>
      <c r="D95" s="26">
        <v>4165</v>
      </c>
    </row>
    <row r="96" spans="1:4" x14ac:dyDescent="0.25">
      <c r="A96" s="8" t="s">
        <v>485</v>
      </c>
      <c r="B96" s="4">
        <v>7</v>
      </c>
      <c r="C96" s="41">
        <f t="shared" si="5"/>
        <v>29.75</v>
      </c>
      <c r="D96" s="13">
        <v>1041.25</v>
      </c>
    </row>
    <row r="97" spans="1:4" x14ac:dyDescent="0.25">
      <c r="A97" s="8" t="s">
        <v>486</v>
      </c>
      <c r="B97" s="4">
        <v>7</v>
      </c>
      <c r="C97" s="41">
        <f t="shared" si="5"/>
        <v>35.000000000000014</v>
      </c>
      <c r="D97" s="13">
        <v>1225.0000000000005</v>
      </c>
    </row>
    <row r="98" spans="1:4" x14ac:dyDescent="0.25">
      <c r="A98" s="8" t="s">
        <v>481</v>
      </c>
      <c r="B98" s="4">
        <v>6</v>
      </c>
      <c r="C98" s="41">
        <f t="shared" si="5"/>
        <v>24.500000000000004</v>
      </c>
      <c r="D98" s="13">
        <v>857.50000000000011</v>
      </c>
    </row>
    <row r="99" spans="1:4" x14ac:dyDescent="0.25">
      <c r="A99" s="8" t="s">
        <v>487</v>
      </c>
      <c r="B99" s="4">
        <v>7</v>
      </c>
      <c r="C99" s="41">
        <f t="shared" si="5"/>
        <v>29.75</v>
      </c>
      <c r="D99" s="13">
        <v>1041.25</v>
      </c>
    </row>
    <row r="100" spans="1:4" x14ac:dyDescent="0.25">
      <c r="A100" s="11" t="s">
        <v>264</v>
      </c>
      <c r="B100" s="5">
        <v>96</v>
      </c>
      <c r="C100" s="43">
        <f t="shared" si="5"/>
        <v>371.86666666666667</v>
      </c>
      <c r="D100" s="26">
        <v>13015.333333333334</v>
      </c>
    </row>
    <row r="101" spans="1:4" x14ac:dyDescent="0.25">
      <c r="A101" s="8" t="s">
        <v>488</v>
      </c>
      <c r="B101" s="4">
        <v>7</v>
      </c>
      <c r="C101" s="41">
        <f t="shared" si="5"/>
        <v>27.783333333333335</v>
      </c>
      <c r="D101" s="13">
        <v>972.41666666666674</v>
      </c>
    </row>
    <row r="102" spans="1:4" x14ac:dyDescent="0.25">
      <c r="A102" s="8" t="s">
        <v>489</v>
      </c>
      <c r="B102" s="4">
        <v>7</v>
      </c>
      <c r="C102" s="41">
        <f t="shared" si="5"/>
        <v>27.25</v>
      </c>
      <c r="D102" s="13">
        <v>953.75</v>
      </c>
    </row>
    <row r="103" spans="1:4" x14ac:dyDescent="0.25">
      <c r="A103" s="8" t="s">
        <v>490</v>
      </c>
      <c r="B103" s="4">
        <v>7</v>
      </c>
      <c r="C103" s="41">
        <f t="shared" si="5"/>
        <v>28.583333333333332</v>
      </c>
      <c r="D103" s="13">
        <v>1000.4166666666666</v>
      </c>
    </row>
    <row r="104" spans="1:4" x14ac:dyDescent="0.25">
      <c r="A104" s="8" t="s">
        <v>491</v>
      </c>
      <c r="B104" s="4">
        <v>6</v>
      </c>
      <c r="C104" s="41">
        <f t="shared" si="5"/>
        <v>19.666666666666664</v>
      </c>
      <c r="D104" s="13">
        <v>688.33333333333326</v>
      </c>
    </row>
    <row r="105" spans="1:4" x14ac:dyDescent="0.25">
      <c r="A105" s="8" t="s">
        <v>482</v>
      </c>
      <c r="B105" s="4">
        <v>6</v>
      </c>
      <c r="C105" s="41">
        <f t="shared" si="5"/>
        <v>24.799999999999997</v>
      </c>
      <c r="D105" s="13">
        <v>867.99999999999989</v>
      </c>
    </row>
    <row r="106" spans="1:4" x14ac:dyDescent="0.25">
      <c r="A106" s="8" t="s">
        <v>483</v>
      </c>
      <c r="B106" s="4">
        <v>5</v>
      </c>
      <c r="C106" s="41">
        <f t="shared" si="5"/>
        <v>19.083333333333336</v>
      </c>
      <c r="D106" s="13">
        <v>667.91666666666674</v>
      </c>
    </row>
    <row r="107" spans="1:4" x14ac:dyDescent="0.25">
      <c r="A107" s="8" t="s">
        <v>478</v>
      </c>
      <c r="B107" s="4">
        <v>6</v>
      </c>
      <c r="C107" s="41">
        <f t="shared" si="5"/>
        <v>25.833333333333332</v>
      </c>
      <c r="D107" s="13">
        <v>904.16666666666663</v>
      </c>
    </row>
    <row r="108" spans="1:4" x14ac:dyDescent="0.25">
      <c r="A108" s="8" t="s">
        <v>479</v>
      </c>
      <c r="B108" s="4">
        <v>5</v>
      </c>
      <c r="C108" s="41">
        <f t="shared" si="5"/>
        <v>20.75</v>
      </c>
      <c r="D108" s="13">
        <v>726.25</v>
      </c>
    </row>
    <row r="109" spans="1:4" x14ac:dyDescent="0.25">
      <c r="A109" s="8" t="s">
        <v>484</v>
      </c>
      <c r="B109" s="4">
        <v>7</v>
      </c>
      <c r="C109" s="41">
        <f t="shared" si="5"/>
        <v>13.416666666666666</v>
      </c>
      <c r="D109" s="13">
        <v>469.58333333333331</v>
      </c>
    </row>
    <row r="110" spans="1:4" x14ac:dyDescent="0.25">
      <c r="A110" s="8" t="s">
        <v>480</v>
      </c>
      <c r="B110" s="4">
        <v>7</v>
      </c>
      <c r="C110" s="41">
        <f t="shared" si="5"/>
        <v>30.333333333333343</v>
      </c>
      <c r="D110" s="13">
        <v>1061.666666666667</v>
      </c>
    </row>
    <row r="111" spans="1:4" x14ac:dyDescent="0.25">
      <c r="A111" s="8" t="s">
        <v>502</v>
      </c>
      <c r="B111" s="4">
        <v>7</v>
      </c>
      <c r="C111" s="41">
        <f t="shared" si="5"/>
        <v>28.416666666666664</v>
      </c>
      <c r="D111" s="13">
        <v>994.58333333333326</v>
      </c>
    </row>
    <row r="112" spans="1:4" x14ac:dyDescent="0.25">
      <c r="A112" s="8" t="s">
        <v>503</v>
      </c>
      <c r="B112" s="4">
        <v>2</v>
      </c>
      <c r="C112" s="41">
        <f t="shared" si="5"/>
        <v>7.6666666666666679</v>
      </c>
      <c r="D112" s="13">
        <v>268.33333333333337</v>
      </c>
    </row>
    <row r="113" spans="1:4" x14ac:dyDescent="0.25">
      <c r="A113" s="8" t="s">
        <v>485</v>
      </c>
      <c r="B113" s="4">
        <v>6</v>
      </c>
      <c r="C113" s="41">
        <f t="shared" si="5"/>
        <v>26.000000000000011</v>
      </c>
      <c r="D113" s="13">
        <v>910.00000000000034</v>
      </c>
    </row>
    <row r="114" spans="1:4" x14ac:dyDescent="0.25">
      <c r="A114" s="8" t="s">
        <v>486</v>
      </c>
      <c r="B114" s="4">
        <v>6</v>
      </c>
      <c r="C114" s="41">
        <f t="shared" si="5"/>
        <v>26.699999999999996</v>
      </c>
      <c r="D114" s="13">
        <v>934.49999999999989</v>
      </c>
    </row>
    <row r="115" spans="1:4" x14ac:dyDescent="0.25">
      <c r="A115" s="8" t="s">
        <v>481</v>
      </c>
      <c r="B115" s="4">
        <v>7</v>
      </c>
      <c r="C115" s="41">
        <f t="shared" si="5"/>
        <v>29.750000000000014</v>
      </c>
      <c r="D115" s="13">
        <v>1041.2500000000005</v>
      </c>
    </row>
    <row r="116" spans="1:4" x14ac:dyDescent="0.25">
      <c r="A116" s="8" t="s">
        <v>487</v>
      </c>
      <c r="B116" s="4">
        <v>5</v>
      </c>
      <c r="C116" s="41">
        <f t="shared" si="5"/>
        <v>15.833333333333336</v>
      </c>
      <c r="D116" s="13">
        <v>554.16666666666674</v>
      </c>
    </row>
    <row r="117" spans="1:4" x14ac:dyDescent="0.25">
      <c r="A117" s="11" t="s">
        <v>536</v>
      </c>
      <c r="B117" s="5">
        <v>26</v>
      </c>
      <c r="C117" s="43">
        <f t="shared" si="5"/>
        <v>96.083333333333329</v>
      </c>
      <c r="D117" s="26">
        <v>3362.9166666666665</v>
      </c>
    </row>
    <row r="118" spans="1:4" x14ac:dyDescent="0.25">
      <c r="A118" s="8" t="s">
        <v>488</v>
      </c>
      <c r="B118" s="4">
        <v>7</v>
      </c>
      <c r="C118" s="41">
        <f t="shared" si="5"/>
        <v>28</v>
      </c>
      <c r="D118" s="13">
        <v>980</v>
      </c>
    </row>
    <row r="119" spans="1:4" x14ac:dyDescent="0.25">
      <c r="A119" s="8" t="s">
        <v>489</v>
      </c>
      <c r="B119" s="4">
        <v>7</v>
      </c>
      <c r="C119" s="41">
        <f t="shared" si="5"/>
        <v>24.499999999999993</v>
      </c>
      <c r="D119" s="13">
        <v>857.49999999999977</v>
      </c>
    </row>
    <row r="120" spans="1:4" x14ac:dyDescent="0.25">
      <c r="A120" s="8" t="s">
        <v>490</v>
      </c>
      <c r="B120" s="4">
        <v>5</v>
      </c>
      <c r="C120" s="41">
        <f t="shared" si="5"/>
        <v>19.083333333333336</v>
      </c>
      <c r="D120" s="13">
        <v>667.91666666666674</v>
      </c>
    </row>
    <row r="121" spans="1:4" x14ac:dyDescent="0.25">
      <c r="A121" s="8" t="s">
        <v>491</v>
      </c>
      <c r="B121" s="4">
        <v>7</v>
      </c>
      <c r="C121" s="41">
        <f t="shared" si="5"/>
        <v>24.5</v>
      </c>
      <c r="D121" s="13">
        <v>857.5</v>
      </c>
    </row>
    <row r="122" spans="1:4" x14ac:dyDescent="0.25">
      <c r="A122" s="11" t="s">
        <v>537</v>
      </c>
      <c r="B122" s="5">
        <v>30</v>
      </c>
      <c r="C122" s="43">
        <f t="shared" si="5"/>
        <v>116.83333333333331</v>
      </c>
      <c r="D122" s="26">
        <v>4089.1666666666661</v>
      </c>
    </row>
    <row r="123" spans="1:4" x14ac:dyDescent="0.25">
      <c r="A123" s="8" t="s">
        <v>484</v>
      </c>
      <c r="B123" s="4">
        <v>4</v>
      </c>
      <c r="C123" s="41">
        <f t="shared" si="5"/>
        <v>9.6666666666666661</v>
      </c>
      <c r="D123" s="13">
        <v>338.33333333333331</v>
      </c>
    </row>
    <row r="124" spans="1:4" x14ac:dyDescent="0.25">
      <c r="A124" s="8" t="s">
        <v>480</v>
      </c>
      <c r="B124" s="4">
        <v>4</v>
      </c>
      <c r="C124" s="41">
        <f t="shared" si="5"/>
        <v>17.333333333333332</v>
      </c>
      <c r="D124" s="13">
        <v>606.66666666666663</v>
      </c>
    </row>
    <row r="125" spans="1:4" x14ac:dyDescent="0.25">
      <c r="A125" s="8" t="s">
        <v>502</v>
      </c>
      <c r="B125" s="4">
        <v>3</v>
      </c>
      <c r="C125" s="41">
        <f t="shared" si="5"/>
        <v>10.749999999999998</v>
      </c>
      <c r="D125" s="13">
        <v>376.24999999999994</v>
      </c>
    </row>
    <row r="126" spans="1:4" x14ac:dyDescent="0.25">
      <c r="A126" s="8" t="s">
        <v>503</v>
      </c>
      <c r="B126" s="4">
        <v>2</v>
      </c>
      <c r="C126" s="41">
        <f t="shared" si="5"/>
        <v>8.6666666666666661</v>
      </c>
      <c r="D126" s="13">
        <v>303.33333333333331</v>
      </c>
    </row>
    <row r="127" spans="1:4" x14ac:dyDescent="0.25">
      <c r="A127" s="8" t="s">
        <v>485</v>
      </c>
      <c r="B127" s="4">
        <v>4</v>
      </c>
      <c r="C127" s="41">
        <f t="shared" si="5"/>
        <v>17</v>
      </c>
      <c r="D127" s="13">
        <v>595</v>
      </c>
    </row>
    <row r="128" spans="1:4" x14ac:dyDescent="0.25">
      <c r="A128" s="8" t="s">
        <v>486</v>
      </c>
      <c r="B128" s="4">
        <v>5</v>
      </c>
      <c r="C128" s="41">
        <f t="shared" si="5"/>
        <v>18.749999999999996</v>
      </c>
      <c r="D128" s="13">
        <v>656.24999999999989</v>
      </c>
    </row>
    <row r="129" spans="1:4" x14ac:dyDescent="0.25">
      <c r="A129" s="8" t="s">
        <v>481</v>
      </c>
      <c r="B129" s="4">
        <v>4</v>
      </c>
      <c r="C129" s="41">
        <f t="shared" si="5"/>
        <v>16.333333333333332</v>
      </c>
      <c r="D129" s="13">
        <v>571.66666666666663</v>
      </c>
    </row>
    <row r="130" spans="1:4" x14ac:dyDescent="0.25">
      <c r="A130" s="8" t="s">
        <v>487</v>
      </c>
      <c r="B130" s="4">
        <v>4</v>
      </c>
      <c r="C130" s="41">
        <f t="shared" si="5"/>
        <v>18.333333333333336</v>
      </c>
      <c r="D130" s="13">
        <v>641.66666666666674</v>
      </c>
    </row>
    <row r="131" spans="1:4" x14ac:dyDescent="0.25">
      <c r="A131" s="11" t="s">
        <v>538</v>
      </c>
      <c r="B131" s="5">
        <v>4</v>
      </c>
      <c r="C131" s="43">
        <f t="shared" si="5"/>
        <v>16.666666666666664</v>
      </c>
      <c r="D131" s="26">
        <v>583.33333333333326</v>
      </c>
    </row>
    <row r="132" spans="1:4" x14ac:dyDescent="0.25">
      <c r="A132" s="8" t="s">
        <v>488</v>
      </c>
      <c r="B132" s="4">
        <v>2</v>
      </c>
      <c r="C132" s="41">
        <f t="shared" si="5"/>
        <v>8.1666666666666661</v>
      </c>
      <c r="D132" s="13">
        <v>285.83333333333331</v>
      </c>
    </row>
    <row r="133" spans="1:4" x14ac:dyDescent="0.25">
      <c r="A133" s="8" t="s">
        <v>478</v>
      </c>
      <c r="B133" s="4">
        <v>2</v>
      </c>
      <c r="C133" s="41">
        <f t="shared" si="5"/>
        <v>8.5</v>
      </c>
      <c r="D133" s="13">
        <v>297.5</v>
      </c>
    </row>
    <row r="134" spans="1:4" x14ac:dyDescent="0.25">
      <c r="A134" s="11" t="s">
        <v>136</v>
      </c>
      <c r="B134" s="5">
        <v>113</v>
      </c>
      <c r="C134" s="43">
        <f t="shared" si="5"/>
        <v>477.38333335650782</v>
      </c>
      <c r="D134" s="26">
        <v>16708.416667477773</v>
      </c>
    </row>
    <row r="135" spans="1:4" x14ac:dyDescent="0.25">
      <c r="A135" s="8" t="s">
        <v>488</v>
      </c>
      <c r="B135" s="4">
        <v>7</v>
      </c>
      <c r="C135" s="41">
        <f t="shared" si="5"/>
        <v>30.916666676581372</v>
      </c>
      <c r="D135" s="13">
        <v>1082.083333680348</v>
      </c>
    </row>
    <row r="136" spans="1:4" x14ac:dyDescent="0.25">
      <c r="A136" s="8" t="s">
        <v>489</v>
      </c>
      <c r="B136" s="4">
        <v>7</v>
      </c>
      <c r="C136" s="41">
        <f t="shared" si="5"/>
        <v>30.916666659468319</v>
      </c>
      <c r="D136" s="13">
        <v>1082.0833330813912</v>
      </c>
    </row>
    <row r="137" spans="1:4" x14ac:dyDescent="0.25">
      <c r="A137" s="8" t="s">
        <v>490</v>
      </c>
      <c r="B137" s="4">
        <v>7</v>
      </c>
      <c r="C137" s="41">
        <f t="shared" si="5"/>
        <v>29.416666675708257</v>
      </c>
      <c r="D137" s="13">
        <v>1029.583333649789</v>
      </c>
    </row>
    <row r="138" spans="1:4" x14ac:dyDescent="0.25">
      <c r="A138" s="8" t="s">
        <v>491</v>
      </c>
      <c r="B138" s="4">
        <v>7</v>
      </c>
      <c r="C138" s="41">
        <f t="shared" si="5"/>
        <v>23.00000000896398</v>
      </c>
      <c r="D138" s="13">
        <v>805.00000031373929</v>
      </c>
    </row>
    <row r="139" spans="1:4" x14ac:dyDescent="0.25">
      <c r="A139" s="8" t="s">
        <v>482</v>
      </c>
      <c r="B139" s="4">
        <v>8</v>
      </c>
      <c r="C139" s="41">
        <f t="shared" si="5"/>
        <v>34</v>
      </c>
      <c r="D139" s="13">
        <v>1190</v>
      </c>
    </row>
    <row r="140" spans="1:4" x14ac:dyDescent="0.25">
      <c r="A140" s="8" t="s">
        <v>483</v>
      </c>
      <c r="B140" s="4">
        <v>8</v>
      </c>
      <c r="C140" s="41">
        <f t="shared" si="5"/>
        <v>36.000000000000007</v>
      </c>
      <c r="D140" s="13">
        <v>1260.0000000000002</v>
      </c>
    </row>
    <row r="141" spans="1:4" x14ac:dyDescent="0.25">
      <c r="A141" s="8" t="s">
        <v>478</v>
      </c>
      <c r="B141" s="4">
        <v>6</v>
      </c>
      <c r="C141" s="41">
        <f t="shared" si="5"/>
        <v>25.166666666666664</v>
      </c>
      <c r="D141" s="13">
        <v>880.83333333333326</v>
      </c>
    </row>
    <row r="142" spans="1:4" x14ac:dyDescent="0.25">
      <c r="A142" s="8" t="s">
        <v>479</v>
      </c>
      <c r="B142" s="4">
        <v>7</v>
      </c>
      <c r="C142" s="41">
        <f t="shared" si="5"/>
        <v>30.333333333333343</v>
      </c>
      <c r="D142" s="13">
        <v>1061.666666666667</v>
      </c>
    </row>
    <row r="143" spans="1:4" x14ac:dyDescent="0.25">
      <c r="A143" s="8" t="s">
        <v>484</v>
      </c>
      <c r="B143" s="4">
        <v>8</v>
      </c>
      <c r="C143" s="41">
        <f t="shared" si="5"/>
        <v>22</v>
      </c>
      <c r="D143" s="13">
        <v>770</v>
      </c>
    </row>
    <row r="144" spans="1:4" x14ac:dyDescent="0.25">
      <c r="A144" s="8" t="s">
        <v>480</v>
      </c>
      <c r="B144" s="4">
        <v>6</v>
      </c>
      <c r="C144" s="41">
        <f t="shared" si="5"/>
        <v>25.216666665044613</v>
      </c>
      <c r="D144" s="13">
        <v>882.58333327656146</v>
      </c>
    </row>
    <row r="145" spans="1:4" x14ac:dyDescent="0.25">
      <c r="A145" s="8" t="s">
        <v>502</v>
      </c>
      <c r="B145" s="4">
        <v>5</v>
      </c>
      <c r="C145" s="41">
        <f t="shared" si="5"/>
        <v>22.500000000000004</v>
      </c>
      <c r="D145" s="13">
        <v>787.50000000000011</v>
      </c>
    </row>
    <row r="146" spans="1:4" x14ac:dyDescent="0.25">
      <c r="A146" s="8" t="s">
        <v>503</v>
      </c>
      <c r="B146" s="4">
        <v>6</v>
      </c>
      <c r="C146" s="41">
        <f t="shared" si="5"/>
        <v>25.000000003608875</v>
      </c>
      <c r="D146" s="13">
        <v>875.00000012631062</v>
      </c>
    </row>
    <row r="147" spans="1:4" x14ac:dyDescent="0.25">
      <c r="A147" s="8" t="s">
        <v>485</v>
      </c>
      <c r="B147" s="4">
        <v>9</v>
      </c>
      <c r="C147" s="41">
        <f t="shared" si="5"/>
        <v>39.166666667268146</v>
      </c>
      <c r="D147" s="13">
        <v>1370.8333333543851</v>
      </c>
    </row>
    <row r="148" spans="1:4" x14ac:dyDescent="0.25">
      <c r="A148" s="8" t="s">
        <v>486</v>
      </c>
      <c r="B148" s="4">
        <v>8</v>
      </c>
      <c r="C148" s="41">
        <f t="shared" si="5"/>
        <v>35.75</v>
      </c>
      <c r="D148" s="13">
        <v>1251.25</v>
      </c>
    </row>
    <row r="149" spans="1:4" x14ac:dyDescent="0.25">
      <c r="A149" s="8" t="s">
        <v>481</v>
      </c>
      <c r="B149" s="4">
        <v>8</v>
      </c>
      <c r="C149" s="41">
        <f t="shared" ref="C149:C171" si="6">D149/35</f>
        <v>37.99999999986418</v>
      </c>
      <c r="D149" s="13">
        <v>1329.9999999952463</v>
      </c>
    </row>
    <row r="150" spans="1:4" x14ac:dyDescent="0.25">
      <c r="A150" s="8" t="s">
        <v>487</v>
      </c>
      <c r="B150" s="4">
        <v>6</v>
      </c>
      <c r="C150" s="41">
        <f t="shared" si="6"/>
        <v>30</v>
      </c>
      <c r="D150" s="13">
        <v>1050</v>
      </c>
    </row>
    <row r="151" spans="1:4" x14ac:dyDescent="0.25">
      <c r="A151" s="11" t="s">
        <v>11</v>
      </c>
      <c r="B151" s="5">
        <v>7</v>
      </c>
      <c r="C151" s="43">
        <f t="shared" si="6"/>
        <v>30.25</v>
      </c>
      <c r="D151" s="26">
        <v>1058.75</v>
      </c>
    </row>
    <row r="152" spans="1:4" x14ac:dyDescent="0.25">
      <c r="A152" s="8" t="s">
        <v>488</v>
      </c>
      <c r="B152" s="4">
        <v>7</v>
      </c>
      <c r="C152" s="41">
        <f t="shared" si="6"/>
        <v>30.25</v>
      </c>
      <c r="D152" s="13">
        <v>1058.75</v>
      </c>
    </row>
    <row r="153" spans="1:4" x14ac:dyDescent="0.25">
      <c r="A153" s="11" t="s">
        <v>260</v>
      </c>
      <c r="B153" s="5">
        <v>7</v>
      </c>
      <c r="C153" s="43">
        <f t="shared" si="6"/>
        <v>29.75</v>
      </c>
      <c r="D153" s="26">
        <v>1041.25</v>
      </c>
    </row>
    <row r="154" spans="1:4" x14ac:dyDescent="0.25">
      <c r="A154" s="8" t="s">
        <v>489</v>
      </c>
      <c r="B154" s="4">
        <v>7</v>
      </c>
      <c r="C154" s="41">
        <f t="shared" si="6"/>
        <v>29.75</v>
      </c>
      <c r="D154" s="13">
        <v>1041.25</v>
      </c>
    </row>
    <row r="155" spans="1:4" x14ac:dyDescent="0.25">
      <c r="A155" s="11" t="s">
        <v>137</v>
      </c>
      <c r="B155" s="5">
        <v>94</v>
      </c>
      <c r="C155" s="43">
        <f t="shared" si="6"/>
        <v>383.00000000238657</v>
      </c>
      <c r="D155" s="26">
        <v>13405.00000008353</v>
      </c>
    </row>
    <row r="156" spans="1:4" x14ac:dyDescent="0.25">
      <c r="A156" s="8" t="s">
        <v>488</v>
      </c>
      <c r="B156" s="4">
        <v>6</v>
      </c>
      <c r="C156" s="41">
        <f t="shared" si="6"/>
        <v>23.916666674485896</v>
      </c>
      <c r="D156" s="13">
        <v>837.08333360700635</v>
      </c>
    </row>
    <row r="157" spans="1:4" x14ac:dyDescent="0.25">
      <c r="A157" s="8" t="s">
        <v>489</v>
      </c>
      <c r="B157" s="4">
        <v>6</v>
      </c>
      <c r="C157" s="41">
        <f t="shared" si="6"/>
        <v>28.000000000000007</v>
      </c>
      <c r="D157" s="13">
        <v>980.00000000000023</v>
      </c>
    </row>
    <row r="158" spans="1:4" x14ac:dyDescent="0.25">
      <c r="A158" s="8" t="s">
        <v>490</v>
      </c>
      <c r="B158" s="4">
        <v>4</v>
      </c>
      <c r="C158" s="41">
        <f t="shared" si="6"/>
        <v>17.833333337621298</v>
      </c>
      <c r="D158" s="13">
        <v>624.16666681674542</v>
      </c>
    </row>
    <row r="159" spans="1:4" x14ac:dyDescent="0.25">
      <c r="A159" s="8" t="s">
        <v>491</v>
      </c>
      <c r="B159" s="4">
        <v>7</v>
      </c>
      <c r="C159" s="41">
        <f t="shared" si="6"/>
        <v>27.083333326561842</v>
      </c>
      <c r="D159" s="13">
        <v>947.91666642966447</v>
      </c>
    </row>
    <row r="160" spans="1:4" x14ac:dyDescent="0.25">
      <c r="A160" s="8" t="s">
        <v>482</v>
      </c>
      <c r="B160" s="4">
        <v>9</v>
      </c>
      <c r="C160" s="41">
        <f t="shared" si="6"/>
        <v>41.75</v>
      </c>
      <c r="D160" s="13">
        <v>1461.25</v>
      </c>
    </row>
    <row r="161" spans="1:4" x14ac:dyDescent="0.25">
      <c r="A161" s="8" t="s">
        <v>483</v>
      </c>
      <c r="B161" s="4">
        <v>6</v>
      </c>
      <c r="C161" s="41">
        <f t="shared" si="6"/>
        <v>22.500000000000004</v>
      </c>
      <c r="D161" s="13">
        <v>787.50000000000011</v>
      </c>
    </row>
    <row r="162" spans="1:4" x14ac:dyDescent="0.25">
      <c r="A162" s="8" t="s">
        <v>478</v>
      </c>
      <c r="B162" s="4">
        <v>5</v>
      </c>
      <c r="C162" s="41">
        <f t="shared" si="6"/>
        <v>22.916666666666675</v>
      </c>
      <c r="D162" s="13">
        <v>802.0833333333336</v>
      </c>
    </row>
    <row r="163" spans="1:4" x14ac:dyDescent="0.25">
      <c r="A163" s="8" t="s">
        <v>479</v>
      </c>
      <c r="B163" s="4">
        <v>6</v>
      </c>
      <c r="C163" s="41">
        <f t="shared" si="6"/>
        <v>26.499999999999996</v>
      </c>
      <c r="D163" s="13">
        <v>927.49999999999989</v>
      </c>
    </row>
    <row r="164" spans="1:4" x14ac:dyDescent="0.25">
      <c r="A164" s="8" t="s">
        <v>484</v>
      </c>
      <c r="B164" s="4">
        <v>7</v>
      </c>
      <c r="C164" s="41">
        <f t="shared" si="6"/>
        <v>22.75</v>
      </c>
      <c r="D164" s="13">
        <v>796.25</v>
      </c>
    </row>
    <row r="165" spans="1:4" x14ac:dyDescent="0.25">
      <c r="A165" s="8" t="s">
        <v>480</v>
      </c>
      <c r="B165" s="4">
        <v>5</v>
      </c>
      <c r="C165" s="41">
        <f t="shared" si="6"/>
        <v>21.666666666666671</v>
      </c>
      <c r="D165" s="13">
        <v>758.33333333333348</v>
      </c>
    </row>
    <row r="166" spans="1:4" x14ac:dyDescent="0.25">
      <c r="A166" s="8" t="s">
        <v>502</v>
      </c>
      <c r="B166" s="4">
        <v>3</v>
      </c>
      <c r="C166" s="41">
        <f t="shared" si="6"/>
        <v>12.166666666666668</v>
      </c>
      <c r="D166" s="13">
        <v>425.83333333333337</v>
      </c>
    </row>
    <row r="167" spans="1:4" x14ac:dyDescent="0.25">
      <c r="A167" s="8" t="s">
        <v>503</v>
      </c>
      <c r="B167" s="4">
        <v>4</v>
      </c>
      <c r="C167" s="41">
        <f t="shared" si="6"/>
        <v>18.666666666666671</v>
      </c>
      <c r="D167" s="13">
        <v>653.33333333333348</v>
      </c>
    </row>
    <row r="168" spans="1:4" x14ac:dyDescent="0.25">
      <c r="A168" s="8" t="s">
        <v>485</v>
      </c>
      <c r="B168" s="4">
        <v>6</v>
      </c>
      <c r="C168" s="41">
        <f t="shared" si="6"/>
        <v>23.583333332693048</v>
      </c>
      <c r="D168" s="13">
        <v>825.41666664425668</v>
      </c>
    </row>
    <row r="169" spans="1:4" x14ac:dyDescent="0.25">
      <c r="A169" s="8" t="s">
        <v>486</v>
      </c>
      <c r="B169" s="4">
        <v>6</v>
      </c>
      <c r="C169" s="41">
        <f t="shared" si="6"/>
        <v>23.3333333330811</v>
      </c>
      <c r="D169" s="13">
        <v>816.6666666578385</v>
      </c>
    </row>
    <row r="170" spans="1:4" x14ac:dyDescent="0.25">
      <c r="A170" s="8" t="s">
        <v>481</v>
      </c>
      <c r="B170" s="4">
        <v>8</v>
      </c>
      <c r="C170" s="41">
        <f t="shared" si="6"/>
        <v>26.166666664609995</v>
      </c>
      <c r="D170" s="13">
        <v>915.83333326134982</v>
      </c>
    </row>
    <row r="171" spans="1:4" x14ac:dyDescent="0.25">
      <c r="A171" s="8" t="s">
        <v>487</v>
      </c>
      <c r="B171" s="4">
        <v>6</v>
      </c>
      <c r="C171" s="41">
        <f t="shared" si="6"/>
        <v>24.166666666666668</v>
      </c>
      <c r="D171" s="13">
        <v>845.83333333333337</v>
      </c>
    </row>
    <row r="172" spans="1:4" x14ac:dyDescent="0.25">
      <c r="A172" s="11" t="s">
        <v>139</v>
      </c>
      <c r="B172" s="5">
        <v>154</v>
      </c>
      <c r="C172" s="43">
        <f>D172/32</f>
        <v>617.91666668228584</v>
      </c>
      <c r="D172" s="26">
        <v>19773.333333833147</v>
      </c>
    </row>
    <row r="173" spans="1:4" x14ac:dyDescent="0.25">
      <c r="A173" s="8" t="s">
        <v>489</v>
      </c>
      <c r="B173" s="4">
        <v>9</v>
      </c>
      <c r="C173" s="41">
        <f t="shared" ref="C173:C202" si="7">D173/32</f>
        <v>37.250000001629815</v>
      </c>
      <c r="D173" s="13">
        <v>1192.0000000521541</v>
      </c>
    </row>
    <row r="174" spans="1:4" x14ac:dyDescent="0.25">
      <c r="A174" s="8" t="s">
        <v>490</v>
      </c>
      <c r="B174" s="4">
        <v>7</v>
      </c>
      <c r="C174" s="41">
        <f t="shared" si="7"/>
        <v>27.25</v>
      </c>
      <c r="D174" s="13">
        <v>872</v>
      </c>
    </row>
    <row r="175" spans="1:4" x14ac:dyDescent="0.25">
      <c r="A175" s="8" t="s">
        <v>491</v>
      </c>
      <c r="B175" s="4">
        <v>6</v>
      </c>
      <c r="C175" s="41">
        <f t="shared" si="7"/>
        <v>26</v>
      </c>
      <c r="D175" s="13">
        <v>832</v>
      </c>
    </row>
    <row r="176" spans="1:4" x14ac:dyDescent="0.25">
      <c r="A176" s="8" t="s">
        <v>482</v>
      </c>
      <c r="B176" s="4">
        <v>15</v>
      </c>
      <c r="C176" s="41">
        <f t="shared" si="7"/>
        <v>60</v>
      </c>
      <c r="D176" s="13">
        <v>1920</v>
      </c>
    </row>
    <row r="177" spans="1:4" x14ac:dyDescent="0.25">
      <c r="A177" s="8" t="s">
        <v>483</v>
      </c>
      <c r="B177" s="4">
        <v>12</v>
      </c>
      <c r="C177" s="41">
        <f t="shared" si="7"/>
        <v>49.999999999999993</v>
      </c>
      <c r="D177" s="13">
        <v>1599.9999999999998</v>
      </c>
    </row>
    <row r="178" spans="1:4" x14ac:dyDescent="0.25">
      <c r="A178" s="8" t="s">
        <v>478</v>
      </c>
      <c r="B178" s="4">
        <v>10</v>
      </c>
      <c r="C178" s="41">
        <f t="shared" si="7"/>
        <v>53.083333333333357</v>
      </c>
      <c r="D178" s="13">
        <v>1698.6666666666674</v>
      </c>
    </row>
    <row r="179" spans="1:4" x14ac:dyDescent="0.25">
      <c r="A179" s="8" t="s">
        <v>479</v>
      </c>
      <c r="B179" s="4">
        <v>10</v>
      </c>
      <c r="C179" s="41">
        <f t="shared" si="7"/>
        <v>39.583333333333343</v>
      </c>
      <c r="D179" s="13">
        <v>1266.666666666667</v>
      </c>
    </row>
    <row r="180" spans="1:4" x14ac:dyDescent="0.25">
      <c r="A180" s="8" t="s">
        <v>484</v>
      </c>
      <c r="B180" s="4">
        <v>13</v>
      </c>
      <c r="C180" s="41">
        <f t="shared" si="7"/>
        <v>28.750000000000007</v>
      </c>
      <c r="D180" s="13">
        <v>920.00000000000023</v>
      </c>
    </row>
    <row r="181" spans="1:4" x14ac:dyDescent="0.25">
      <c r="A181" s="8" t="s">
        <v>480</v>
      </c>
      <c r="B181" s="4">
        <v>8</v>
      </c>
      <c r="C181" s="41">
        <f t="shared" si="7"/>
        <v>33.916666666666664</v>
      </c>
      <c r="D181" s="13">
        <v>1085.3333333333333</v>
      </c>
    </row>
    <row r="182" spans="1:4" x14ac:dyDescent="0.25">
      <c r="A182" s="8" t="s">
        <v>502</v>
      </c>
      <c r="B182" s="4">
        <v>11</v>
      </c>
      <c r="C182" s="41">
        <f t="shared" si="7"/>
        <v>46.749999999999993</v>
      </c>
      <c r="D182" s="13">
        <v>1495.9999999999998</v>
      </c>
    </row>
    <row r="183" spans="1:4" x14ac:dyDescent="0.25">
      <c r="A183" s="8" t="s">
        <v>503</v>
      </c>
      <c r="B183" s="4">
        <v>10</v>
      </c>
      <c r="C183" s="41">
        <f t="shared" si="7"/>
        <v>39.333333333333336</v>
      </c>
      <c r="D183" s="13">
        <v>1258.6666666666667</v>
      </c>
    </row>
    <row r="184" spans="1:4" x14ac:dyDescent="0.25">
      <c r="A184" s="8" t="s">
        <v>485</v>
      </c>
      <c r="B184" s="4">
        <v>11</v>
      </c>
      <c r="C184" s="41">
        <f t="shared" si="7"/>
        <v>45.666666666666671</v>
      </c>
      <c r="D184" s="13">
        <v>1461.3333333333335</v>
      </c>
    </row>
    <row r="185" spans="1:4" x14ac:dyDescent="0.25">
      <c r="A185" s="8" t="s">
        <v>486</v>
      </c>
      <c r="B185" s="4">
        <v>11</v>
      </c>
      <c r="C185" s="41">
        <f t="shared" si="7"/>
        <v>35.75000001792796</v>
      </c>
      <c r="D185" s="13">
        <v>1144.0000005736947</v>
      </c>
    </row>
    <row r="186" spans="1:4" x14ac:dyDescent="0.25">
      <c r="A186" s="8" t="s">
        <v>481</v>
      </c>
      <c r="B186" s="4">
        <v>11</v>
      </c>
      <c r="C186" s="41">
        <f t="shared" si="7"/>
        <v>49.916666666666671</v>
      </c>
      <c r="D186" s="13">
        <v>1597.3333333333335</v>
      </c>
    </row>
    <row r="187" spans="1:4" x14ac:dyDescent="0.25">
      <c r="A187" s="8" t="s">
        <v>487</v>
      </c>
      <c r="B187" s="4">
        <v>10</v>
      </c>
      <c r="C187" s="41">
        <f t="shared" si="7"/>
        <v>44.666666662727948</v>
      </c>
      <c r="D187" s="13">
        <v>1429.3333332072943</v>
      </c>
    </row>
    <row r="188" spans="1:4" x14ac:dyDescent="0.25">
      <c r="A188" s="11" t="s">
        <v>539</v>
      </c>
      <c r="B188" s="5">
        <v>66</v>
      </c>
      <c r="C188" s="43">
        <f t="shared" si="7"/>
        <v>255.08333333333334</v>
      </c>
      <c r="D188" s="26">
        <v>8162.666666666667</v>
      </c>
    </row>
    <row r="189" spans="1:4" x14ac:dyDescent="0.25">
      <c r="A189" s="8" t="s">
        <v>490</v>
      </c>
      <c r="B189" s="4">
        <v>3</v>
      </c>
      <c r="C189" s="41">
        <f t="shared" si="7"/>
        <v>10.750000000000004</v>
      </c>
      <c r="D189" s="13">
        <v>344.00000000000011</v>
      </c>
    </row>
    <row r="190" spans="1:4" x14ac:dyDescent="0.25">
      <c r="A190" s="8" t="s">
        <v>491</v>
      </c>
      <c r="B190" s="4">
        <v>5</v>
      </c>
      <c r="C190" s="41">
        <f t="shared" si="7"/>
        <v>19.166666666666671</v>
      </c>
      <c r="D190" s="13">
        <v>613.33333333333348</v>
      </c>
    </row>
    <row r="191" spans="1:4" x14ac:dyDescent="0.25">
      <c r="A191" s="8" t="s">
        <v>482</v>
      </c>
      <c r="B191" s="4">
        <v>6</v>
      </c>
      <c r="C191" s="41">
        <f t="shared" si="7"/>
        <v>26</v>
      </c>
      <c r="D191" s="13">
        <v>832</v>
      </c>
    </row>
    <row r="192" spans="1:4" x14ac:dyDescent="0.25">
      <c r="A192" s="8" t="s">
        <v>483</v>
      </c>
      <c r="B192" s="4">
        <v>7</v>
      </c>
      <c r="C192" s="41">
        <f t="shared" si="7"/>
        <v>27.25</v>
      </c>
      <c r="D192" s="13">
        <v>872</v>
      </c>
    </row>
    <row r="193" spans="1:4" x14ac:dyDescent="0.25">
      <c r="A193" s="8" t="s">
        <v>478</v>
      </c>
      <c r="B193" s="4">
        <v>5</v>
      </c>
      <c r="C193" s="41">
        <f t="shared" si="7"/>
        <v>20.75</v>
      </c>
      <c r="D193" s="13">
        <v>664</v>
      </c>
    </row>
    <row r="194" spans="1:4" x14ac:dyDescent="0.25">
      <c r="A194" s="8" t="s">
        <v>479</v>
      </c>
      <c r="B194" s="4">
        <v>3</v>
      </c>
      <c r="C194" s="41">
        <f t="shared" si="7"/>
        <v>11.583333333333336</v>
      </c>
      <c r="D194" s="13">
        <v>370.66666666666674</v>
      </c>
    </row>
    <row r="195" spans="1:4" x14ac:dyDescent="0.25">
      <c r="A195" s="8" t="s">
        <v>484</v>
      </c>
      <c r="B195" s="4">
        <v>5</v>
      </c>
      <c r="C195" s="41">
        <f t="shared" si="7"/>
        <v>9.1666666666666679</v>
      </c>
      <c r="D195" s="13">
        <v>293.33333333333337</v>
      </c>
    </row>
    <row r="196" spans="1:4" x14ac:dyDescent="0.25">
      <c r="A196" s="8" t="s">
        <v>480</v>
      </c>
      <c r="B196" s="4">
        <v>4</v>
      </c>
      <c r="C196" s="41">
        <f t="shared" si="7"/>
        <v>16.333333333333336</v>
      </c>
      <c r="D196" s="13">
        <v>522.66666666666674</v>
      </c>
    </row>
    <row r="197" spans="1:4" x14ac:dyDescent="0.25">
      <c r="A197" s="8" t="s">
        <v>502</v>
      </c>
      <c r="B197" s="4">
        <v>6</v>
      </c>
      <c r="C197" s="41">
        <f t="shared" si="7"/>
        <v>24.5</v>
      </c>
      <c r="D197" s="13">
        <v>784</v>
      </c>
    </row>
    <row r="198" spans="1:4" x14ac:dyDescent="0.25">
      <c r="A198" s="8" t="s">
        <v>503</v>
      </c>
      <c r="B198" s="4">
        <v>5</v>
      </c>
      <c r="C198" s="41">
        <f t="shared" si="7"/>
        <v>17.083333333333336</v>
      </c>
      <c r="D198" s="13">
        <v>546.66666666666674</v>
      </c>
    </row>
    <row r="199" spans="1:4" x14ac:dyDescent="0.25">
      <c r="A199" s="8" t="s">
        <v>485</v>
      </c>
      <c r="B199" s="4">
        <v>4</v>
      </c>
      <c r="C199" s="41">
        <f t="shared" si="7"/>
        <v>16.666666666666668</v>
      </c>
      <c r="D199" s="13">
        <v>533.33333333333337</v>
      </c>
    </row>
    <row r="200" spans="1:4" x14ac:dyDescent="0.25">
      <c r="A200" s="8" t="s">
        <v>486</v>
      </c>
      <c r="B200" s="4">
        <v>6</v>
      </c>
      <c r="C200" s="41">
        <f t="shared" si="7"/>
        <v>26.499999999999996</v>
      </c>
      <c r="D200" s="13">
        <v>847.99999999999989</v>
      </c>
    </row>
    <row r="201" spans="1:4" x14ac:dyDescent="0.25">
      <c r="A201" s="8" t="s">
        <v>481</v>
      </c>
      <c r="B201" s="4">
        <v>3</v>
      </c>
      <c r="C201" s="41">
        <f t="shared" si="7"/>
        <v>13</v>
      </c>
      <c r="D201" s="13">
        <v>416</v>
      </c>
    </row>
    <row r="202" spans="1:4" x14ac:dyDescent="0.25">
      <c r="A202" s="8" t="s">
        <v>487</v>
      </c>
      <c r="B202" s="4">
        <v>4</v>
      </c>
      <c r="C202" s="41">
        <f t="shared" si="7"/>
        <v>16.333333333333332</v>
      </c>
      <c r="D202" s="13">
        <v>522.66666666666663</v>
      </c>
    </row>
    <row r="203" spans="1:4" x14ac:dyDescent="0.25">
      <c r="A203" s="11" t="s">
        <v>540</v>
      </c>
      <c r="B203" s="5">
        <v>115</v>
      </c>
      <c r="C203" s="43">
        <f>D203/35</f>
        <v>481.90000000000009</v>
      </c>
      <c r="D203" s="26">
        <v>16866.500000000004</v>
      </c>
    </row>
    <row r="204" spans="1:4" x14ac:dyDescent="0.25">
      <c r="A204" s="8" t="s">
        <v>488</v>
      </c>
      <c r="B204" s="4">
        <v>8</v>
      </c>
      <c r="C204" s="41">
        <f t="shared" ref="C204:C228" si="8">D204/35</f>
        <v>34</v>
      </c>
      <c r="D204" s="13">
        <v>1190</v>
      </c>
    </row>
    <row r="205" spans="1:4" x14ac:dyDescent="0.25">
      <c r="A205" s="8" t="s">
        <v>489</v>
      </c>
      <c r="B205" s="4">
        <v>7</v>
      </c>
      <c r="C205" s="41">
        <f t="shared" si="8"/>
        <v>30.333333333333329</v>
      </c>
      <c r="D205" s="13">
        <v>1061.6666666666665</v>
      </c>
    </row>
    <row r="206" spans="1:4" x14ac:dyDescent="0.25">
      <c r="A206" s="8" t="s">
        <v>490</v>
      </c>
      <c r="B206" s="4">
        <v>7</v>
      </c>
      <c r="C206" s="41">
        <f t="shared" si="8"/>
        <v>30.333333333333329</v>
      </c>
      <c r="D206" s="13">
        <v>1061.6666666666665</v>
      </c>
    </row>
    <row r="207" spans="1:4" x14ac:dyDescent="0.25">
      <c r="A207" s="8" t="s">
        <v>491</v>
      </c>
      <c r="B207" s="4">
        <v>8</v>
      </c>
      <c r="C207" s="41">
        <f t="shared" si="8"/>
        <v>32.15</v>
      </c>
      <c r="D207" s="13">
        <v>1125.25</v>
      </c>
    </row>
    <row r="208" spans="1:4" x14ac:dyDescent="0.25">
      <c r="A208" s="8" t="s">
        <v>482</v>
      </c>
      <c r="B208" s="4">
        <v>10</v>
      </c>
      <c r="C208" s="41">
        <f t="shared" si="8"/>
        <v>43.166666666666671</v>
      </c>
      <c r="D208" s="13">
        <v>1510.8333333333335</v>
      </c>
    </row>
    <row r="209" spans="1:4" x14ac:dyDescent="0.25">
      <c r="A209" s="8" t="s">
        <v>483</v>
      </c>
      <c r="B209" s="4">
        <v>2</v>
      </c>
      <c r="C209" s="41">
        <f t="shared" si="8"/>
        <v>7.5</v>
      </c>
      <c r="D209" s="13">
        <v>262.5</v>
      </c>
    </row>
    <row r="210" spans="1:4" x14ac:dyDescent="0.25">
      <c r="A210" s="8" t="s">
        <v>478</v>
      </c>
      <c r="B210" s="4">
        <v>7</v>
      </c>
      <c r="C210" s="41">
        <f t="shared" si="8"/>
        <v>30.083333333333343</v>
      </c>
      <c r="D210" s="13">
        <v>1052.916666666667</v>
      </c>
    </row>
    <row r="211" spans="1:4" x14ac:dyDescent="0.25">
      <c r="A211" s="8" t="s">
        <v>479</v>
      </c>
      <c r="B211" s="4">
        <v>7</v>
      </c>
      <c r="C211" s="41">
        <f t="shared" si="8"/>
        <v>27.250000000000004</v>
      </c>
      <c r="D211" s="13">
        <v>953.75000000000011</v>
      </c>
    </row>
    <row r="212" spans="1:4" x14ac:dyDescent="0.25">
      <c r="A212" s="8" t="s">
        <v>484</v>
      </c>
      <c r="B212" s="4">
        <v>9</v>
      </c>
      <c r="C212" s="41">
        <f t="shared" si="8"/>
        <v>25.500000000000007</v>
      </c>
      <c r="D212" s="13">
        <v>892.50000000000023</v>
      </c>
    </row>
    <row r="213" spans="1:4" x14ac:dyDescent="0.25">
      <c r="A213" s="8" t="s">
        <v>480</v>
      </c>
      <c r="B213" s="4">
        <v>8</v>
      </c>
      <c r="C213" s="41">
        <f t="shared" si="8"/>
        <v>36.000000000000007</v>
      </c>
      <c r="D213" s="13">
        <v>1260.0000000000002</v>
      </c>
    </row>
    <row r="214" spans="1:4" x14ac:dyDescent="0.25">
      <c r="A214" s="8" t="s">
        <v>502</v>
      </c>
      <c r="B214" s="4">
        <v>7</v>
      </c>
      <c r="C214" s="41">
        <f t="shared" si="8"/>
        <v>29.749999999999993</v>
      </c>
      <c r="D214" s="13">
        <v>1041.2499999999998</v>
      </c>
    </row>
    <row r="215" spans="1:4" x14ac:dyDescent="0.25">
      <c r="A215" s="8" t="s">
        <v>503</v>
      </c>
      <c r="B215" s="4">
        <v>6</v>
      </c>
      <c r="C215" s="41">
        <f t="shared" si="8"/>
        <v>19.500000000000007</v>
      </c>
      <c r="D215" s="13">
        <v>682.50000000000023</v>
      </c>
    </row>
    <row r="216" spans="1:4" x14ac:dyDescent="0.25">
      <c r="A216" s="8" t="s">
        <v>485</v>
      </c>
      <c r="B216" s="4">
        <v>8</v>
      </c>
      <c r="C216" s="41">
        <f t="shared" si="8"/>
        <v>36.666666666666657</v>
      </c>
      <c r="D216" s="13">
        <v>1283.333333333333</v>
      </c>
    </row>
    <row r="217" spans="1:4" x14ac:dyDescent="0.25">
      <c r="A217" s="8" t="s">
        <v>486</v>
      </c>
      <c r="B217" s="4">
        <v>8</v>
      </c>
      <c r="C217" s="41">
        <f t="shared" si="8"/>
        <v>36.666666666666679</v>
      </c>
      <c r="D217" s="13">
        <v>1283.3333333333337</v>
      </c>
    </row>
    <row r="218" spans="1:4" x14ac:dyDescent="0.25">
      <c r="A218" s="8" t="s">
        <v>481</v>
      </c>
      <c r="B218" s="4">
        <v>7</v>
      </c>
      <c r="C218" s="41">
        <f t="shared" si="8"/>
        <v>35</v>
      </c>
      <c r="D218" s="13">
        <v>1225</v>
      </c>
    </row>
    <row r="219" spans="1:4" x14ac:dyDescent="0.25">
      <c r="A219" s="8" t="s">
        <v>487</v>
      </c>
      <c r="B219" s="4">
        <v>6</v>
      </c>
      <c r="C219" s="41">
        <f t="shared" si="8"/>
        <v>28.000000000000004</v>
      </c>
      <c r="D219" s="13">
        <v>980.00000000000011</v>
      </c>
    </row>
    <row r="220" spans="1:4" x14ac:dyDescent="0.25">
      <c r="A220" s="11" t="s">
        <v>541</v>
      </c>
      <c r="B220" s="5">
        <v>65</v>
      </c>
      <c r="C220" s="43">
        <f t="shared" si="8"/>
        <v>263.25</v>
      </c>
      <c r="D220" s="26">
        <v>9213.75</v>
      </c>
    </row>
    <row r="221" spans="1:4" x14ac:dyDescent="0.25">
      <c r="A221" s="8" t="s">
        <v>489</v>
      </c>
      <c r="B221" s="4">
        <v>8</v>
      </c>
      <c r="C221" s="41">
        <f t="shared" si="8"/>
        <v>32.666666666666664</v>
      </c>
      <c r="D221" s="13">
        <v>1143.3333333333333</v>
      </c>
    </row>
    <row r="222" spans="1:4" x14ac:dyDescent="0.25">
      <c r="A222" s="8" t="s">
        <v>482</v>
      </c>
      <c r="B222" s="4">
        <v>8</v>
      </c>
      <c r="C222" s="41">
        <f t="shared" si="8"/>
        <v>33.333333333333336</v>
      </c>
      <c r="D222" s="13">
        <v>1166.6666666666667</v>
      </c>
    </row>
    <row r="223" spans="1:4" x14ac:dyDescent="0.25">
      <c r="A223" s="8" t="s">
        <v>483</v>
      </c>
      <c r="B223" s="4">
        <v>15</v>
      </c>
      <c r="C223" s="41">
        <f t="shared" si="8"/>
        <v>63.750000000000014</v>
      </c>
      <c r="D223" s="13">
        <v>2231.2500000000005</v>
      </c>
    </row>
    <row r="224" spans="1:4" x14ac:dyDescent="0.25">
      <c r="A224" s="8" t="s">
        <v>479</v>
      </c>
      <c r="B224" s="4">
        <v>5</v>
      </c>
      <c r="C224" s="41">
        <f t="shared" si="8"/>
        <v>19.166666666666671</v>
      </c>
      <c r="D224" s="13">
        <v>670.83333333333348</v>
      </c>
    </row>
    <row r="225" spans="1:4" x14ac:dyDescent="0.25">
      <c r="A225" s="8" t="s">
        <v>485</v>
      </c>
      <c r="B225" s="4">
        <v>7</v>
      </c>
      <c r="C225" s="41">
        <f t="shared" si="8"/>
        <v>28.583333333333339</v>
      </c>
      <c r="D225" s="13">
        <v>1000.4166666666669</v>
      </c>
    </row>
    <row r="226" spans="1:4" x14ac:dyDescent="0.25">
      <c r="A226" s="8" t="s">
        <v>486</v>
      </c>
      <c r="B226" s="4">
        <v>7</v>
      </c>
      <c r="C226" s="41">
        <f t="shared" si="8"/>
        <v>22.750000000000007</v>
      </c>
      <c r="D226" s="13">
        <v>796.25000000000023</v>
      </c>
    </row>
    <row r="227" spans="1:4" x14ac:dyDescent="0.25">
      <c r="A227" s="8" t="s">
        <v>481</v>
      </c>
      <c r="B227" s="4">
        <v>9</v>
      </c>
      <c r="C227" s="41">
        <f t="shared" si="8"/>
        <v>38.25</v>
      </c>
      <c r="D227" s="13">
        <v>1338.75</v>
      </c>
    </row>
    <row r="228" spans="1:4" x14ac:dyDescent="0.25">
      <c r="A228" s="8" t="s">
        <v>487</v>
      </c>
      <c r="B228" s="4">
        <v>6</v>
      </c>
      <c r="C228" s="41">
        <f t="shared" si="8"/>
        <v>24.750000000000004</v>
      </c>
      <c r="D228" s="13">
        <v>866.25000000000011</v>
      </c>
    </row>
    <row r="229" spans="1:4" x14ac:dyDescent="0.25">
      <c r="A229" s="44" t="s">
        <v>523</v>
      </c>
      <c r="B229" s="45">
        <v>1204</v>
      </c>
      <c r="C229" s="46"/>
      <c r="D229" s="47">
        <v>165994.58333456828</v>
      </c>
    </row>
  </sheetData>
  <pageMargins left="0.25" right="0.25" top="0.75" bottom="0.75" header="0.3" footer="0.3"/>
  <pageSetup paperSize="9"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2521-90AD-47AC-BD69-7FF3EC3E2EED}">
  <dimension ref="A1:D86"/>
  <sheetViews>
    <sheetView rightToLeft="1" tabSelected="1" workbookViewId="0">
      <selection activeCell="G8" sqref="G8"/>
    </sheetView>
  </sheetViews>
  <sheetFormatPr defaultRowHeight="13.8" x14ac:dyDescent="0.25"/>
  <cols>
    <col min="1" max="1" width="20" bestFit="1" customWidth="1"/>
    <col min="4" max="4" width="12.8984375" customWidth="1"/>
  </cols>
  <sheetData>
    <row r="1" spans="1:4" x14ac:dyDescent="0.25">
      <c r="A1" s="35" t="s">
        <v>262</v>
      </c>
      <c r="B1" s="36" t="s">
        <v>499</v>
      </c>
      <c r="C1" s="36" t="s">
        <v>500</v>
      </c>
      <c r="D1" s="36" t="s">
        <v>259</v>
      </c>
    </row>
    <row r="2" spans="1:4" x14ac:dyDescent="0.25">
      <c r="A2" s="9" t="s">
        <v>72</v>
      </c>
      <c r="B2" s="10">
        <v>120</v>
      </c>
      <c r="C2" s="10">
        <v>577.25</v>
      </c>
      <c r="D2" s="12">
        <v>21242.916666539561</v>
      </c>
    </row>
    <row r="3" spans="1:4" x14ac:dyDescent="0.25">
      <c r="A3" s="8" t="s">
        <v>488</v>
      </c>
      <c r="B3" s="4">
        <v>8</v>
      </c>
      <c r="C3" s="4"/>
      <c r="D3" s="13">
        <v>1560</v>
      </c>
    </row>
    <row r="4" spans="1:4" x14ac:dyDescent="0.25">
      <c r="A4" s="8" t="s">
        <v>490</v>
      </c>
      <c r="B4" s="4">
        <v>11</v>
      </c>
      <c r="C4" s="4"/>
      <c r="D4" s="13">
        <v>1953.2500002262532</v>
      </c>
    </row>
    <row r="5" spans="1:4" x14ac:dyDescent="0.25">
      <c r="A5" s="8" t="s">
        <v>491</v>
      </c>
      <c r="B5" s="4">
        <v>7</v>
      </c>
      <c r="C5" s="4"/>
      <c r="D5" s="13">
        <v>1251.2500000582659</v>
      </c>
    </row>
    <row r="6" spans="1:4" x14ac:dyDescent="0.25">
      <c r="A6" s="8" t="s">
        <v>482</v>
      </c>
      <c r="B6" s="4">
        <v>8</v>
      </c>
      <c r="C6" s="4"/>
      <c r="D6" s="13">
        <v>1599.0000002224697</v>
      </c>
    </row>
    <row r="7" spans="1:4" x14ac:dyDescent="0.25">
      <c r="A7" s="8" t="s">
        <v>483</v>
      </c>
      <c r="B7" s="4">
        <v>7</v>
      </c>
      <c r="C7" s="4"/>
      <c r="D7" s="13">
        <v>1374.7499997593695</v>
      </c>
    </row>
    <row r="8" spans="1:4" x14ac:dyDescent="0.25">
      <c r="A8" s="8" t="s">
        <v>478</v>
      </c>
      <c r="B8" s="4">
        <v>11</v>
      </c>
      <c r="C8" s="4"/>
      <c r="D8" s="13">
        <v>1361.9166668332764</v>
      </c>
    </row>
    <row r="9" spans="1:4" x14ac:dyDescent="0.25">
      <c r="A9" s="8" t="s">
        <v>479</v>
      </c>
      <c r="B9" s="4">
        <v>9</v>
      </c>
      <c r="C9" s="4"/>
      <c r="D9" s="13">
        <v>1086.2500000505825</v>
      </c>
    </row>
    <row r="10" spans="1:4" x14ac:dyDescent="0.25">
      <c r="A10" s="8" t="s">
        <v>484</v>
      </c>
      <c r="B10" s="4">
        <v>7</v>
      </c>
      <c r="C10" s="4"/>
      <c r="D10" s="13">
        <v>1365</v>
      </c>
    </row>
    <row r="11" spans="1:4" x14ac:dyDescent="0.25">
      <c r="A11" s="8" t="s">
        <v>480</v>
      </c>
      <c r="B11" s="4">
        <v>9</v>
      </c>
      <c r="C11" s="4"/>
      <c r="D11" s="13">
        <v>1631.5000000401051</v>
      </c>
    </row>
    <row r="12" spans="1:4" x14ac:dyDescent="0.25">
      <c r="A12" s="8" t="s">
        <v>502</v>
      </c>
      <c r="B12" s="4">
        <v>7</v>
      </c>
      <c r="C12" s="4"/>
      <c r="D12" s="13">
        <v>1238.2499997911509</v>
      </c>
    </row>
    <row r="13" spans="1:4" x14ac:dyDescent="0.25">
      <c r="A13" s="8" t="s">
        <v>503</v>
      </c>
      <c r="B13" s="4">
        <v>9</v>
      </c>
      <c r="C13" s="4"/>
      <c r="D13" s="13">
        <v>1732.2499998441199</v>
      </c>
    </row>
    <row r="14" spans="1:4" x14ac:dyDescent="0.25">
      <c r="A14" s="8" t="s">
        <v>485</v>
      </c>
      <c r="B14" s="4">
        <v>8</v>
      </c>
      <c r="C14" s="4"/>
      <c r="D14" s="13">
        <v>1481.9999997457489</v>
      </c>
    </row>
    <row r="15" spans="1:4" x14ac:dyDescent="0.25">
      <c r="A15" s="8" t="s">
        <v>481</v>
      </c>
      <c r="B15" s="4">
        <v>11</v>
      </c>
      <c r="C15" s="4"/>
      <c r="D15" s="13">
        <v>2047.4999999682186</v>
      </c>
    </row>
    <row r="16" spans="1:4" x14ac:dyDescent="0.25">
      <c r="A16" s="8" t="s">
        <v>507</v>
      </c>
      <c r="B16" s="4">
        <v>8</v>
      </c>
      <c r="C16" s="4"/>
      <c r="D16" s="13">
        <v>1560</v>
      </c>
    </row>
    <row r="17" spans="1:4" x14ac:dyDescent="0.25">
      <c r="A17" s="9" t="s">
        <v>73</v>
      </c>
      <c r="B17" s="10">
        <v>83</v>
      </c>
      <c r="C17" s="10">
        <v>372.32</v>
      </c>
      <c r="D17" s="12">
        <v>14134.016665284231</v>
      </c>
    </row>
    <row r="18" spans="1:4" x14ac:dyDescent="0.25">
      <c r="A18" s="8" t="s">
        <v>488</v>
      </c>
      <c r="B18" s="4">
        <v>8</v>
      </c>
      <c r="C18" s="4"/>
      <c r="D18" s="13">
        <v>1429.9999999576248</v>
      </c>
    </row>
    <row r="19" spans="1:4" x14ac:dyDescent="0.25">
      <c r="A19" s="8" t="s">
        <v>490</v>
      </c>
      <c r="B19" s="4">
        <v>9</v>
      </c>
      <c r="C19" s="4"/>
      <c r="D19" s="13">
        <v>1591.1999995273654</v>
      </c>
    </row>
    <row r="20" spans="1:4" x14ac:dyDescent="0.25">
      <c r="A20" s="8" t="s">
        <v>491</v>
      </c>
      <c r="B20" s="4">
        <v>6</v>
      </c>
      <c r="C20" s="4"/>
      <c r="D20" s="13">
        <v>974.99999966402538</v>
      </c>
    </row>
    <row r="21" spans="1:4" x14ac:dyDescent="0.25">
      <c r="A21" s="8" t="s">
        <v>482</v>
      </c>
      <c r="B21" s="4">
        <v>8</v>
      </c>
      <c r="C21" s="4"/>
      <c r="D21" s="13">
        <v>1404.0000002542511</v>
      </c>
    </row>
    <row r="22" spans="1:4" x14ac:dyDescent="0.25">
      <c r="A22" s="8" t="s">
        <v>483</v>
      </c>
      <c r="B22" s="4">
        <v>7</v>
      </c>
      <c r="C22" s="4"/>
      <c r="D22" s="13">
        <v>1242.1500000286032</v>
      </c>
    </row>
    <row r="23" spans="1:4" x14ac:dyDescent="0.25">
      <c r="A23" s="8" t="s">
        <v>478</v>
      </c>
      <c r="B23" s="4">
        <v>8</v>
      </c>
      <c r="C23" s="4"/>
      <c r="D23" s="13">
        <v>1199.6666665659286</v>
      </c>
    </row>
    <row r="24" spans="1:4" x14ac:dyDescent="0.25">
      <c r="A24" s="8" t="s">
        <v>479</v>
      </c>
      <c r="B24" s="4">
        <v>4</v>
      </c>
      <c r="C24" s="4"/>
      <c r="D24" s="13">
        <v>584.99999974574894</v>
      </c>
    </row>
    <row r="25" spans="1:4" x14ac:dyDescent="0.25">
      <c r="A25" s="8" t="s">
        <v>484</v>
      </c>
      <c r="B25" s="4">
        <v>8</v>
      </c>
      <c r="C25" s="4"/>
      <c r="D25" s="13">
        <v>1539.199999823235</v>
      </c>
    </row>
    <row r="26" spans="1:4" x14ac:dyDescent="0.25">
      <c r="A26" s="8" t="s">
        <v>480</v>
      </c>
      <c r="B26" s="4">
        <v>6</v>
      </c>
      <c r="C26" s="4"/>
      <c r="D26" s="13">
        <v>1099.7999999754829</v>
      </c>
    </row>
    <row r="27" spans="1:4" x14ac:dyDescent="0.25">
      <c r="A27" s="8" t="s">
        <v>502</v>
      </c>
      <c r="B27" s="4">
        <v>5</v>
      </c>
      <c r="C27" s="4"/>
      <c r="D27" s="13">
        <v>942.4999999962165</v>
      </c>
    </row>
    <row r="28" spans="1:4" x14ac:dyDescent="0.25">
      <c r="A28" s="8" t="s">
        <v>503</v>
      </c>
      <c r="B28" s="4">
        <v>8</v>
      </c>
      <c r="C28" s="4"/>
      <c r="D28" s="13">
        <v>1481.9999997457489</v>
      </c>
    </row>
    <row r="29" spans="1:4" x14ac:dyDescent="0.25">
      <c r="A29" s="8" t="s">
        <v>507</v>
      </c>
      <c r="B29" s="4">
        <v>6</v>
      </c>
      <c r="C29" s="4"/>
      <c r="D29" s="13">
        <v>643.5</v>
      </c>
    </row>
    <row r="30" spans="1:4" x14ac:dyDescent="0.25">
      <c r="A30" s="9" t="s">
        <v>74</v>
      </c>
      <c r="B30" s="10">
        <v>36</v>
      </c>
      <c r="C30" s="10">
        <v>166.58</v>
      </c>
      <c r="D30" s="12">
        <v>6496.7500001059379</v>
      </c>
    </row>
    <row r="31" spans="1:4" x14ac:dyDescent="0.25">
      <c r="A31" s="8" t="s">
        <v>483</v>
      </c>
      <c r="B31" s="4">
        <v>7</v>
      </c>
      <c r="C31" s="4"/>
      <c r="D31" s="13">
        <v>1296.7500004449394</v>
      </c>
    </row>
    <row r="32" spans="1:4" x14ac:dyDescent="0.25">
      <c r="A32" s="8" t="s">
        <v>480</v>
      </c>
      <c r="B32" s="4">
        <v>8</v>
      </c>
      <c r="C32" s="4"/>
      <c r="D32" s="13">
        <v>1455.9999999334104</v>
      </c>
    </row>
    <row r="33" spans="1:4" x14ac:dyDescent="0.25">
      <c r="A33" s="8" t="s">
        <v>502</v>
      </c>
      <c r="B33" s="4">
        <v>8</v>
      </c>
      <c r="C33" s="4"/>
      <c r="D33" s="13">
        <v>1481.9999997457489</v>
      </c>
    </row>
    <row r="34" spans="1:4" x14ac:dyDescent="0.25">
      <c r="A34" s="8" t="s">
        <v>486</v>
      </c>
      <c r="B34" s="4">
        <v>6</v>
      </c>
      <c r="C34" s="4"/>
      <c r="D34" s="13">
        <v>1033.4999997593695</v>
      </c>
    </row>
    <row r="35" spans="1:4" x14ac:dyDescent="0.25">
      <c r="A35" s="8" t="s">
        <v>481</v>
      </c>
      <c r="B35" s="4">
        <v>7</v>
      </c>
      <c r="C35" s="4"/>
      <c r="D35" s="13">
        <v>1228.5000002224697</v>
      </c>
    </row>
    <row r="36" spans="1:4" x14ac:dyDescent="0.25">
      <c r="A36" s="9" t="s">
        <v>75</v>
      </c>
      <c r="B36" s="10">
        <v>71</v>
      </c>
      <c r="C36" s="10">
        <v>329.2</v>
      </c>
      <c r="D36" s="12">
        <v>12838.800000288757</v>
      </c>
    </row>
    <row r="37" spans="1:4" x14ac:dyDescent="0.25">
      <c r="A37" s="8" t="s">
        <v>488</v>
      </c>
      <c r="B37" s="4">
        <v>9</v>
      </c>
      <c r="C37" s="4"/>
      <c r="D37" s="13">
        <v>1676.9999999977299</v>
      </c>
    </row>
    <row r="38" spans="1:4" x14ac:dyDescent="0.25">
      <c r="A38" s="8" t="s">
        <v>490</v>
      </c>
      <c r="B38" s="4">
        <v>8</v>
      </c>
      <c r="C38" s="4"/>
      <c r="D38" s="13">
        <v>1436.4999999651918</v>
      </c>
    </row>
    <row r="39" spans="1:4" x14ac:dyDescent="0.25">
      <c r="A39" s="8" t="s">
        <v>491</v>
      </c>
      <c r="B39" s="4">
        <v>7</v>
      </c>
      <c r="C39" s="4"/>
      <c r="D39" s="13">
        <v>1255.7999997393927</v>
      </c>
    </row>
    <row r="40" spans="1:4" x14ac:dyDescent="0.25">
      <c r="A40" s="8" t="s">
        <v>484</v>
      </c>
      <c r="B40" s="4">
        <v>8</v>
      </c>
      <c r="C40" s="4"/>
      <c r="D40" s="13">
        <v>1482.0000005085021</v>
      </c>
    </row>
    <row r="41" spans="1:4" x14ac:dyDescent="0.25">
      <c r="A41" s="8" t="s">
        <v>480</v>
      </c>
      <c r="B41" s="4">
        <v>6</v>
      </c>
      <c r="C41" s="4"/>
      <c r="D41" s="13">
        <v>1150.5000000998843</v>
      </c>
    </row>
    <row r="42" spans="1:4" x14ac:dyDescent="0.25">
      <c r="A42" s="8" t="s">
        <v>502</v>
      </c>
      <c r="B42" s="4">
        <v>5</v>
      </c>
      <c r="C42" s="4"/>
      <c r="D42" s="13">
        <v>900.24999990616925</v>
      </c>
    </row>
    <row r="43" spans="1:4" x14ac:dyDescent="0.25">
      <c r="A43" s="8" t="s">
        <v>503</v>
      </c>
      <c r="B43" s="4">
        <v>7</v>
      </c>
      <c r="C43" s="4"/>
      <c r="D43" s="13">
        <v>1303.2500001324224</v>
      </c>
    </row>
    <row r="44" spans="1:4" x14ac:dyDescent="0.25">
      <c r="A44" s="8" t="s">
        <v>485</v>
      </c>
      <c r="B44" s="4">
        <v>6</v>
      </c>
      <c r="C44" s="4"/>
      <c r="D44" s="13">
        <v>1111.5000000136206</v>
      </c>
    </row>
    <row r="45" spans="1:4" x14ac:dyDescent="0.25">
      <c r="A45" s="8" t="s">
        <v>486</v>
      </c>
      <c r="B45" s="4">
        <v>7</v>
      </c>
      <c r="C45" s="4"/>
      <c r="D45" s="13">
        <v>1118.0000004343456</v>
      </c>
    </row>
    <row r="46" spans="1:4" x14ac:dyDescent="0.25">
      <c r="A46" s="8" t="s">
        <v>481</v>
      </c>
      <c r="B46" s="4">
        <v>8</v>
      </c>
      <c r="C46" s="4"/>
      <c r="D46" s="13">
        <v>1403.9999994914979</v>
      </c>
    </row>
    <row r="47" spans="1:4" x14ac:dyDescent="0.25">
      <c r="A47" s="9" t="s">
        <v>138</v>
      </c>
      <c r="B47" s="10">
        <v>109</v>
      </c>
      <c r="C47" s="10">
        <v>484</v>
      </c>
      <c r="D47" s="12">
        <v>18875.999998892192</v>
      </c>
    </row>
    <row r="48" spans="1:4" x14ac:dyDescent="0.25">
      <c r="A48" s="8" t="s">
        <v>488</v>
      </c>
      <c r="B48" s="4">
        <v>8</v>
      </c>
      <c r="C48" s="4"/>
      <c r="D48" s="13">
        <v>1351.9999999757856</v>
      </c>
    </row>
    <row r="49" spans="1:4" x14ac:dyDescent="0.25">
      <c r="A49" s="8" t="s">
        <v>490</v>
      </c>
      <c r="B49" s="4">
        <v>13</v>
      </c>
      <c r="C49" s="4"/>
      <c r="D49" s="13">
        <v>2193.75000022928</v>
      </c>
    </row>
    <row r="50" spans="1:4" x14ac:dyDescent="0.25">
      <c r="A50" s="8" t="s">
        <v>491</v>
      </c>
      <c r="B50" s="4">
        <v>7</v>
      </c>
      <c r="C50" s="4"/>
      <c r="D50" s="13">
        <v>1046.5000001059379</v>
      </c>
    </row>
    <row r="51" spans="1:4" x14ac:dyDescent="0.25">
      <c r="A51" s="8" t="s">
        <v>482</v>
      </c>
      <c r="B51" s="4">
        <v>7</v>
      </c>
      <c r="C51" s="4"/>
      <c r="D51" s="13">
        <v>1296.7499997775303</v>
      </c>
    </row>
    <row r="52" spans="1:4" x14ac:dyDescent="0.25">
      <c r="A52" s="8" t="s">
        <v>483</v>
      </c>
      <c r="B52" s="4">
        <v>8</v>
      </c>
      <c r="C52" s="4"/>
      <c r="D52" s="13">
        <v>1351.9999998123385</v>
      </c>
    </row>
    <row r="53" spans="1:4" x14ac:dyDescent="0.25">
      <c r="A53" s="8" t="s">
        <v>478</v>
      </c>
      <c r="B53" s="4">
        <v>7</v>
      </c>
      <c r="C53" s="4"/>
      <c r="D53" s="13">
        <v>1205.7500003390014</v>
      </c>
    </row>
    <row r="54" spans="1:4" x14ac:dyDescent="0.25">
      <c r="A54" s="8" t="s">
        <v>479</v>
      </c>
      <c r="B54" s="4">
        <v>6</v>
      </c>
      <c r="C54" s="4"/>
      <c r="D54" s="13">
        <v>974.99999956868123</v>
      </c>
    </row>
    <row r="55" spans="1:4" x14ac:dyDescent="0.25">
      <c r="A55" s="8" t="s">
        <v>484</v>
      </c>
      <c r="B55" s="4">
        <v>7</v>
      </c>
      <c r="C55" s="4"/>
      <c r="D55" s="13">
        <v>1228.4999995550606</v>
      </c>
    </row>
    <row r="56" spans="1:4" x14ac:dyDescent="0.25">
      <c r="A56" s="8" t="s">
        <v>480</v>
      </c>
      <c r="B56" s="4">
        <v>8</v>
      </c>
      <c r="C56" s="4"/>
      <c r="D56" s="13">
        <v>1481.9999997457489</v>
      </c>
    </row>
    <row r="57" spans="1:4" x14ac:dyDescent="0.25">
      <c r="A57" s="8" t="s">
        <v>502</v>
      </c>
      <c r="B57" s="4">
        <v>8</v>
      </c>
      <c r="C57" s="4"/>
      <c r="D57" s="13">
        <v>1455.9999999334104</v>
      </c>
    </row>
    <row r="58" spans="1:4" x14ac:dyDescent="0.25">
      <c r="A58" s="8" t="s">
        <v>503</v>
      </c>
      <c r="B58" s="4">
        <v>8</v>
      </c>
      <c r="C58" s="4"/>
      <c r="D58" s="13">
        <v>1247.9999997457489</v>
      </c>
    </row>
    <row r="59" spans="1:4" x14ac:dyDescent="0.25">
      <c r="A59" s="8" t="s">
        <v>485</v>
      </c>
      <c r="B59" s="4">
        <v>8</v>
      </c>
      <c r="C59" s="4"/>
      <c r="D59" s="13">
        <v>1637.9999999818392</v>
      </c>
    </row>
    <row r="60" spans="1:4" x14ac:dyDescent="0.25">
      <c r="A60" s="8" t="s">
        <v>481</v>
      </c>
      <c r="B60" s="4">
        <v>8</v>
      </c>
      <c r="C60" s="4"/>
      <c r="D60" s="13">
        <v>1465.7500003125169</v>
      </c>
    </row>
    <row r="61" spans="1:4" x14ac:dyDescent="0.25">
      <c r="A61" s="8" t="s">
        <v>507</v>
      </c>
      <c r="B61" s="4">
        <v>6</v>
      </c>
      <c r="C61" s="4"/>
      <c r="D61" s="13">
        <v>935.9999998093117</v>
      </c>
    </row>
    <row r="62" spans="1:4" x14ac:dyDescent="0.25">
      <c r="A62" s="9" t="s">
        <v>77</v>
      </c>
      <c r="B62" s="10">
        <v>206</v>
      </c>
      <c r="C62" s="10">
        <v>983.92</v>
      </c>
      <c r="D62" s="12">
        <v>36748.249997545034</v>
      </c>
    </row>
    <row r="63" spans="1:4" x14ac:dyDescent="0.25">
      <c r="A63" s="8" t="s">
        <v>488</v>
      </c>
      <c r="B63" s="4">
        <v>16</v>
      </c>
      <c r="C63" s="4"/>
      <c r="D63" s="13">
        <v>2833.9999999939464</v>
      </c>
    </row>
    <row r="64" spans="1:4" x14ac:dyDescent="0.25">
      <c r="A64" s="8" t="s">
        <v>490</v>
      </c>
      <c r="B64" s="4">
        <v>15</v>
      </c>
      <c r="C64" s="4"/>
      <c r="D64" s="13">
        <v>3006.2499995633843</v>
      </c>
    </row>
    <row r="65" spans="1:4" x14ac:dyDescent="0.25">
      <c r="A65" s="8" t="s">
        <v>491</v>
      </c>
      <c r="B65" s="4">
        <v>11</v>
      </c>
      <c r="C65" s="4"/>
      <c r="D65" s="13">
        <v>2148.2499995406833</v>
      </c>
    </row>
    <row r="66" spans="1:4" x14ac:dyDescent="0.25">
      <c r="A66" s="8" t="s">
        <v>482</v>
      </c>
      <c r="B66" s="4">
        <v>20</v>
      </c>
      <c r="C66" s="4"/>
      <c r="D66" s="13">
        <v>3717.999999325024</v>
      </c>
    </row>
    <row r="67" spans="1:4" x14ac:dyDescent="0.25">
      <c r="A67" s="8" t="s">
        <v>483</v>
      </c>
      <c r="B67" s="4">
        <v>15</v>
      </c>
      <c r="C67" s="4"/>
      <c r="D67" s="13">
        <v>2863.2499993832898</v>
      </c>
    </row>
    <row r="68" spans="1:4" x14ac:dyDescent="0.25">
      <c r="A68" s="8" t="s">
        <v>478</v>
      </c>
      <c r="B68" s="4">
        <v>22</v>
      </c>
      <c r="C68" s="4"/>
      <c r="D68" s="13">
        <v>3384.3333330349997</v>
      </c>
    </row>
    <row r="69" spans="1:4" x14ac:dyDescent="0.25">
      <c r="A69" s="8" t="s">
        <v>479</v>
      </c>
      <c r="B69" s="4">
        <v>16</v>
      </c>
      <c r="C69" s="4"/>
      <c r="D69" s="13">
        <v>2082.6666666741949</v>
      </c>
    </row>
    <row r="70" spans="1:4" x14ac:dyDescent="0.25">
      <c r="A70" s="8" t="s">
        <v>484</v>
      </c>
      <c r="B70" s="4">
        <v>14</v>
      </c>
      <c r="C70" s="4"/>
      <c r="D70" s="13">
        <v>2710.4999995686812</v>
      </c>
    </row>
    <row r="71" spans="1:4" x14ac:dyDescent="0.25">
      <c r="A71" s="8" t="s">
        <v>480</v>
      </c>
      <c r="B71" s="4">
        <v>14</v>
      </c>
      <c r="C71" s="4"/>
      <c r="D71" s="13">
        <v>2821.0000000582659</v>
      </c>
    </row>
    <row r="72" spans="1:4" x14ac:dyDescent="0.25">
      <c r="A72" s="8" t="s">
        <v>502</v>
      </c>
      <c r="B72" s="4">
        <v>12</v>
      </c>
      <c r="C72" s="4"/>
      <c r="D72" s="13">
        <v>2167.7499997041305</v>
      </c>
    </row>
    <row r="73" spans="1:4" x14ac:dyDescent="0.25">
      <c r="A73" s="8" t="s">
        <v>503</v>
      </c>
      <c r="B73" s="4">
        <v>13</v>
      </c>
      <c r="C73" s="4"/>
      <c r="D73" s="13">
        <v>2431.0000006621121</v>
      </c>
    </row>
    <row r="74" spans="1:4" x14ac:dyDescent="0.25">
      <c r="A74" s="8" t="s">
        <v>485</v>
      </c>
      <c r="B74" s="4">
        <v>8</v>
      </c>
      <c r="C74" s="4"/>
      <c r="D74" s="13">
        <v>1390.9999999939464</v>
      </c>
    </row>
    <row r="75" spans="1:4" x14ac:dyDescent="0.25">
      <c r="A75" s="8" t="s">
        <v>486</v>
      </c>
      <c r="B75" s="4">
        <v>7</v>
      </c>
      <c r="C75" s="4"/>
      <c r="D75" s="13">
        <v>341.25</v>
      </c>
    </row>
    <row r="76" spans="1:4" x14ac:dyDescent="0.25">
      <c r="A76" s="8" t="s">
        <v>481</v>
      </c>
      <c r="B76" s="4">
        <v>13</v>
      </c>
      <c r="C76" s="4"/>
      <c r="D76" s="13">
        <v>2704.0000000196742</v>
      </c>
    </row>
    <row r="77" spans="1:4" x14ac:dyDescent="0.25">
      <c r="A77" s="8" t="s">
        <v>507</v>
      </c>
      <c r="B77" s="4">
        <v>10</v>
      </c>
      <c r="C77" s="4"/>
      <c r="D77" s="13">
        <v>2145.000000022701</v>
      </c>
    </row>
    <row r="78" spans="1:4" x14ac:dyDescent="0.25">
      <c r="A78" s="9" t="s">
        <v>78</v>
      </c>
      <c r="B78" s="10">
        <v>8</v>
      </c>
      <c r="C78" s="10">
        <v>67.25</v>
      </c>
      <c r="D78" s="12">
        <v>1878.5000000234577</v>
      </c>
    </row>
    <row r="79" spans="1:4" x14ac:dyDescent="0.25">
      <c r="A79" s="8" t="s">
        <v>488</v>
      </c>
      <c r="B79" s="4">
        <v>2</v>
      </c>
      <c r="C79" s="4"/>
      <c r="D79" s="13">
        <v>448.5</v>
      </c>
    </row>
    <row r="80" spans="1:4" x14ac:dyDescent="0.25">
      <c r="A80" s="8" t="s">
        <v>489</v>
      </c>
      <c r="B80" s="4">
        <v>1</v>
      </c>
      <c r="C80" s="4"/>
      <c r="D80" s="13">
        <v>224.25</v>
      </c>
    </row>
    <row r="81" spans="1:4" x14ac:dyDescent="0.25">
      <c r="A81" s="8" t="s">
        <v>483</v>
      </c>
      <c r="B81" s="4">
        <v>2</v>
      </c>
      <c r="C81" s="4"/>
      <c r="D81" s="13">
        <v>448.5</v>
      </c>
    </row>
    <row r="82" spans="1:4" x14ac:dyDescent="0.25">
      <c r="A82" s="8" t="s">
        <v>478</v>
      </c>
      <c r="B82" s="4">
        <v>2</v>
      </c>
      <c r="C82" s="4"/>
      <c r="D82" s="13">
        <v>448.5</v>
      </c>
    </row>
    <row r="83" spans="1:4" x14ac:dyDescent="0.25">
      <c r="A83" s="8" t="s">
        <v>516</v>
      </c>
      <c r="B83" s="4">
        <v>1</v>
      </c>
      <c r="C83" s="4"/>
      <c r="D83" s="13">
        <v>308.75000002345769</v>
      </c>
    </row>
    <row r="84" spans="1:4" x14ac:dyDescent="0.25">
      <c r="A84" s="9" t="s">
        <v>528</v>
      </c>
      <c r="B84" s="10">
        <v>8</v>
      </c>
      <c r="C84" s="10">
        <v>38.67</v>
      </c>
      <c r="D84" s="12">
        <v>1353.3333333279006</v>
      </c>
    </row>
    <row r="85" spans="1:4" x14ac:dyDescent="0.25">
      <c r="A85" s="8" t="s">
        <v>507</v>
      </c>
      <c r="B85" s="4">
        <v>8</v>
      </c>
      <c r="C85" s="4"/>
      <c r="D85" s="13">
        <v>1353.3333333279006</v>
      </c>
    </row>
    <row r="86" spans="1:4" x14ac:dyDescent="0.25">
      <c r="A86" s="8" t="s">
        <v>508</v>
      </c>
      <c r="B86" s="4">
        <v>641</v>
      </c>
      <c r="C86" s="4"/>
      <c r="D86" s="26">
        <v>113568.56666200707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9A9F-2555-4EB4-B55D-C33FA4F1B773}">
  <sheetPr>
    <pageSetUpPr fitToPage="1"/>
  </sheetPr>
  <dimension ref="A1:H93"/>
  <sheetViews>
    <sheetView rightToLeft="1" topLeftCell="A67" workbookViewId="0">
      <selection activeCell="C87" sqref="C87"/>
    </sheetView>
  </sheetViews>
  <sheetFormatPr defaultRowHeight="13.8" x14ac:dyDescent="0.25"/>
  <cols>
    <col min="1" max="1" width="20.796875" style="2" customWidth="1"/>
    <col min="2" max="2" width="11.796875" bestFit="1" customWidth="1"/>
    <col min="3" max="3" width="11.8984375" style="2" bestFit="1" customWidth="1"/>
    <col min="5" max="8" width="8.69921875" style="2"/>
  </cols>
  <sheetData>
    <row r="1" spans="1:6" x14ac:dyDescent="0.25">
      <c r="A1" s="35" t="s">
        <v>262</v>
      </c>
      <c r="B1" s="36" t="s">
        <v>499</v>
      </c>
      <c r="C1" s="36" t="s">
        <v>500</v>
      </c>
      <c r="D1" s="36" t="s">
        <v>514</v>
      </c>
      <c r="E1"/>
      <c r="F1"/>
    </row>
    <row r="2" spans="1:6" x14ac:dyDescent="0.25">
      <c r="A2" s="9" t="s">
        <v>515</v>
      </c>
      <c r="B2" s="10">
        <v>28</v>
      </c>
      <c r="C2" s="10">
        <f>D2/35</f>
        <v>141.00000000675209</v>
      </c>
      <c r="D2" s="37">
        <v>4935.0000002363231</v>
      </c>
      <c r="E2"/>
      <c r="F2"/>
    </row>
    <row r="3" spans="1:6" x14ac:dyDescent="0.25">
      <c r="A3" s="8" t="s">
        <v>480</v>
      </c>
      <c r="B3" s="4">
        <v>21</v>
      </c>
      <c r="C3" s="4">
        <f t="shared" ref="C3:C35" si="0">D3/35</f>
        <v>105.25000000186265</v>
      </c>
      <c r="D3" s="38">
        <v>3683.7500000651926</v>
      </c>
      <c r="E3"/>
      <c r="F3"/>
    </row>
    <row r="4" spans="1:6" x14ac:dyDescent="0.25">
      <c r="A4" s="8" t="s">
        <v>502</v>
      </c>
      <c r="B4" s="4">
        <v>7</v>
      </c>
      <c r="C4" s="4">
        <f t="shared" si="0"/>
        <v>35.750000004889444</v>
      </c>
      <c r="D4" s="38">
        <v>1251.2500001711305</v>
      </c>
      <c r="E4"/>
      <c r="F4"/>
    </row>
    <row r="5" spans="1:6" x14ac:dyDescent="0.25">
      <c r="A5" s="9" t="s">
        <v>145</v>
      </c>
      <c r="B5" s="10">
        <v>8</v>
      </c>
      <c r="C5" s="10">
        <f t="shared" si="0"/>
        <v>39.000000001629815</v>
      </c>
      <c r="D5" s="37">
        <v>1365.0000000570435</v>
      </c>
      <c r="E5"/>
      <c r="F5"/>
    </row>
    <row r="6" spans="1:6" x14ac:dyDescent="0.25">
      <c r="A6" s="8" t="s">
        <v>489</v>
      </c>
      <c r="B6" s="4">
        <v>2</v>
      </c>
      <c r="C6" s="4">
        <f t="shared" si="0"/>
        <v>11.5</v>
      </c>
      <c r="D6" s="38">
        <v>402.5</v>
      </c>
      <c r="E6"/>
      <c r="F6"/>
    </row>
    <row r="7" spans="1:6" x14ac:dyDescent="0.25">
      <c r="A7" s="8" t="s">
        <v>490</v>
      </c>
      <c r="B7" s="4">
        <v>2</v>
      </c>
      <c r="C7" s="4">
        <f t="shared" si="0"/>
        <v>5.5</v>
      </c>
      <c r="D7" s="38">
        <v>192.5</v>
      </c>
      <c r="E7"/>
      <c r="F7"/>
    </row>
    <row r="8" spans="1:6" x14ac:dyDescent="0.25">
      <c r="A8" s="8" t="s">
        <v>483</v>
      </c>
      <c r="B8" s="4">
        <v>2</v>
      </c>
      <c r="C8" s="4">
        <f t="shared" si="0"/>
        <v>11.000000003259629</v>
      </c>
      <c r="D8" s="38">
        <v>385.00000011408702</v>
      </c>
      <c r="E8"/>
      <c r="F8"/>
    </row>
    <row r="9" spans="1:6" x14ac:dyDescent="0.25">
      <c r="A9" s="8" t="s">
        <v>478</v>
      </c>
      <c r="B9" s="4">
        <v>2</v>
      </c>
      <c r="C9" s="4">
        <f t="shared" si="0"/>
        <v>10.999999998370185</v>
      </c>
      <c r="D9" s="38">
        <v>384.99999994295649</v>
      </c>
      <c r="E9"/>
      <c r="F9"/>
    </row>
    <row r="10" spans="1:6" x14ac:dyDescent="0.25">
      <c r="A10" s="9" t="s">
        <v>286</v>
      </c>
      <c r="B10" s="10">
        <v>146</v>
      </c>
      <c r="C10" s="12">
        <f t="shared" si="0"/>
        <v>558.16666669992264</v>
      </c>
      <c r="D10" s="37">
        <v>19535.833334497293</v>
      </c>
      <c r="E10"/>
      <c r="F10"/>
    </row>
    <row r="11" spans="1:6" x14ac:dyDescent="0.25">
      <c r="A11" s="8" t="s">
        <v>488</v>
      </c>
      <c r="B11" s="4">
        <v>9</v>
      </c>
      <c r="C11" s="13">
        <f t="shared" si="0"/>
        <v>38.25</v>
      </c>
      <c r="D11" s="38">
        <v>1338.75</v>
      </c>
      <c r="E11"/>
      <c r="F11"/>
    </row>
    <row r="12" spans="1:6" x14ac:dyDescent="0.25">
      <c r="A12" s="8" t="s">
        <v>490</v>
      </c>
      <c r="B12" s="4">
        <v>20</v>
      </c>
      <c r="C12" s="13">
        <f t="shared" si="0"/>
        <v>63.166666672681458</v>
      </c>
      <c r="D12" s="38">
        <v>2210.833333543851</v>
      </c>
      <c r="E12"/>
      <c r="F12"/>
    </row>
    <row r="13" spans="1:6" x14ac:dyDescent="0.25">
      <c r="A13" s="8" t="s">
        <v>491</v>
      </c>
      <c r="B13" s="4">
        <v>24</v>
      </c>
      <c r="C13" s="13">
        <f t="shared" si="0"/>
        <v>54</v>
      </c>
      <c r="D13" s="38">
        <v>1890</v>
      </c>
      <c r="E13"/>
      <c r="F13"/>
    </row>
    <row r="14" spans="1:6" x14ac:dyDescent="0.25">
      <c r="A14" s="8" t="s">
        <v>482</v>
      </c>
      <c r="B14" s="4">
        <v>17</v>
      </c>
      <c r="C14" s="13">
        <f t="shared" si="0"/>
        <v>77.916666670294944</v>
      </c>
      <c r="D14" s="38">
        <v>2727.083333460323</v>
      </c>
      <c r="E14"/>
      <c r="F14"/>
    </row>
    <row r="15" spans="1:6" x14ac:dyDescent="0.25">
      <c r="A15" s="8" t="s">
        <v>483</v>
      </c>
      <c r="B15" s="4">
        <v>14</v>
      </c>
      <c r="C15" s="13">
        <f t="shared" si="0"/>
        <v>66.500000022817403</v>
      </c>
      <c r="D15" s="38">
        <v>2327.5000007986091</v>
      </c>
      <c r="E15"/>
      <c r="F15"/>
    </row>
    <row r="16" spans="1:6" x14ac:dyDescent="0.25">
      <c r="A16" s="8" t="s">
        <v>478</v>
      </c>
      <c r="B16" s="4">
        <v>7</v>
      </c>
      <c r="C16" s="13">
        <f t="shared" si="0"/>
        <v>31.083333327027503</v>
      </c>
      <c r="D16" s="38">
        <v>1087.9166664459626</v>
      </c>
      <c r="E16"/>
      <c r="F16"/>
    </row>
    <row r="17" spans="1:6" x14ac:dyDescent="0.25">
      <c r="A17" s="8" t="s">
        <v>479</v>
      </c>
      <c r="B17" s="4">
        <v>8</v>
      </c>
      <c r="C17" s="13">
        <f t="shared" si="0"/>
        <v>35.333333323709667</v>
      </c>
      <c r="D17" s="38">
        <v>1236.6666663298383</v>
      </c>
      <c r="E17"/>
      <c r="F17"/>
    </row>
    <row r="18" spans="1:6" x14ac:dyDescent="0.25">
      <c r="A18" s="8" t="s">
        <v>516</v>
      </c>
      <c r="B18" s="4">
        <v>16</v>
      </c>
      <c r="C18" s="13">
        <f t="shared" si="0"/>
        <v>49.333333336748183</v>
      </c>
      <c r="D18" s="38">
        <v>1726.6666667861864</v>
      </c>
      <c r="E18"/>
      <c r="F18"/>
    </row>
    <row r="19" spans="1:6" x14ac:dyDescent="0.25">
      <c r="A19" s="8" t="s">
        <v>484</v>
      </c>
      <c r="B19" s="4">
        <v>17</v>
      </c>
      <c r="C19" s="13">
        <f t="shared" si="0"/>
        <v>80.750000027706847</v>
      </c>
      <c r="D19" s="38">
        <v>2826.2500009697396</v>
      </c>
      <c r="E19"/>
      <c r="F19"/>
    </row>
    <row r="20" spans="1:6" x14ac:dyDescent="0.25">
      <c r="A20" s="8" t="s">
        <v>480</v>
      </c>
      <c r="B20" s="4">
        <v>14</v>
      </c>
      <c r="C20" s="13">
        <f t="shared" si="0"/>
        <v>61.833333318936639</v>
      </c>
      <c r="D20" s="38">
        <v>2164.1666661627823</v>
      </c>
      <c r="E20"/>
      <c r="F20"/>
    </row>
    <row r="21" spans="1:6" x14ac:dyDescent="0.25">
      <c r="A21" s="9" t="s">
        <v>190</v>
      </c>
      <c r="B21" s="10">
        <v>5</v>
      </c>
      <c r="C21" s="12">
        <f t="shared" si="0"/>
        <v>32.416666667093523</v>
      </c>
      <c r="D21" s="37">
        <v>1134.5833333482733</v>
      </c>
      <c r="E21"/>
      <c r="F21"/>
    </row>
    <row r="22" spans="1:6" x14ac:dyDescent="0.25">
      <c r="A22" s="8" t="s">
        <v>490</v>
      </c>
      <c r="B22" s="4">
        <v>3</v>
      </c>
      <c r="C22" s="13">
        <f t="shared" si="0"/>
        <v>17.25</v>
      </c>
      <c r="D22" s="38">
        <v>603.75</v>
      </c>
      <c r="E22"/>
      <c r="F22"/>
    </row>
    <row r="23" spans="1:6" x14ac:dyDescent="0.25">
      <c r="A23" s="8" t="s">
        <v>478</v>
      </c>
      <c r="B23" s="4">
        <v>2</v>
      </c>
      <c r="C23" s="13">
        <f t="shared" si="0"/>
        <v>15.166666667093523</v>
      </c>
      <c r="D23" s="38">
        <v>530.8333333482733</v>
      </c>
      <c r="E23"/>
      <c r="F23"/>
    </row>
    <row r="24" spans="1:6" x14ac:dyDescent="0.25">
      <c r="A24" s="9" t="s">
        <v>560</v>
      </c>
      <c r="B24" s="10">
        <v>83</v>
      </c>
      <c r="C24" s="12">
        <f t="shared" si="0"/>
        <v>401.75000002817251</v>
      </c>
      <c r="D24" s="37">
        <v>14061.250000986038</v>
      </c>
      <c r="E24"/>
      <c r="F24"/>
    </row>
    <row r="25" spans="1:6" x14ac:dyDescent="0.25">
      <c r="A25" s="8" t="s">
        <v>503</v>
      </c>
      <c r="B25" s="4">
        <v>38</v>
      </c>
      <c r="C25" s="13">
        <f t="shared" si="0"/>
        <v>186.83333336282521</v>
      </c>
      <c r="D25" s="38">
        <v>6539.1666676988825</v>
      </c>
      <c r="E25"/>
      <c r="F25"/>
    </row>
    <row r="26" spans="1:6" x14ac:dyDescent="0.25">
      <c r="A26" s="8" t="s">
        <v>485</v>
      </c>
      <c r="B26" s="4">
        <v>13</v>
      </c>
      <c r="C26" s="13">
        <f t="shared" si="0"/>
        <v>65</v>
      </c>
      <c r="D26" s="38">
        <v>2275</v>
      </c>
      <c r="E26"/>
      <c r="F26"/>
    </row>
    <row r="27" spans="1:6" x14ac:dyDescent="0.25">
      <c r="A27" s="8" t="s">
        <v>481</v>
      </c>
      <c r="B27" s="4">
        <v>17</v>
      </c>
      <c r="C27" s="13">
        <f t="shared" si="0"/>
        <v>88.99999999901047</v>
      </c>
      <c r="D27" s="38">
        <v>3114.9999999653664</v>
      </c>
      <c r="E27"/>
      <c r="F27"/>
    </row>
    <row r="28" spans="1:6" x14ac:dyDescent="0.25">
      <c r="A28" s="8" t="s">
        <v>487</v>
      </c>
      <c r="B28" s="4">
        <v>15</v>
      </c>
      <c r="C28" s="13">
        <f t="shared" si="0"/>
        <v>60.916666666336823</v>
      </c>
      <c r="D28" s="38">
        <v>2132.0833333217888</v>
      </c>
      <c r="E28"/>
      <c r="F28"/>
    </row>
    <row r="29" spans="1:6" x14ac:dyDescent="0.25">
      <c r="A29" s="9" t="s">
        <v>235</v>
      </c>
      <c r="B29" s="10">
        <v>19</v>
      </c>
      <c r="C29" s="12">
        <f t="shared" si="0"/>
        <v>63.416666679782793</v>
      </c>
      <c r="D29" s="37">
        <v>2219.5833337923978</v>
      </c>
      <c r="E29"/>
      <c r="F29"/>
    </row>
    <row r="30" spans="1:6" x14ac:dyDescent="0.25">
      <c r="A30" s="8" t="s">
        <v>485</v>
      </c>
      <c r="B30" s="4">
        <v>8</v>
      </c>
      <c r="C30" s="13">
        <f t="shared" si="0"/>
        <v>32.6666666805977</v>
      </c>
      <c r="D30" s="38">
        <v>1143.3333338209195</v>
      </c>
      <c r="E30"/>
      <c r="F30"/>
    </row>
    <row r="31" spans="1:6" x14ac:dyDescent="0.25">
      <c r="A31" s="8" t="s">
        <v>486</v>
      </c>
      <c r="B31" s="4">
        <v>5</v>
      </c>
      <c r="C31" s="13">
        <f t="shared" si="0"/>
        <v>2.4999999959254637</v>
      </c>
      <c r="D31" s="38">
        <v>87.499999857391231</v>
      </c>
      <c r="E31"/>
      <c r="F31"/>
    </row>
    <row r="32" spans="1:6" x14ac:dyDescent="0.25">
      <c r="A32" s="8" t="s">
        <v>481</v>
      </c>
      <c r="B32" s="4">
        <v>6</v>
      </c>
      <c r="C32" s="13">
        <f t="shared" si="0"/>
        <v>28.250000003259629</v>
      </c>
      <c r="D32" s="38">
        <v>988.75000011408702</v>
      </c>
      <c r="E32"/>
      <c r="F32"/>
    </row>
    <row r="33" spans="1:6" x14ac:dyDescent="0.25">
      <c r="A33" s="9" t="s">
        <v>247</v>
      </c>
      <c r="B33" s="10">
        <v>6</v>
      </c>
      <c r="C33" s="12">
        <f t="shared" si="0"/>
        <v>24.333333331276663</v>
      </c>
      <c r="D33" s="37">
        <v>851.66666659468319</v>
      </c>
      <c r="E33"/>
      <c r="F33"/>
    </row>
    <row r="34" spans="1:6" x14ac:dyDescent="0.25">
      <c r="A34" s="8" t="s">
        <v>488</v>
      </c>
      <c r="B34" s="4">
        <v>2</v>
      </c>
      <c r="C34" s="13">
        <f t="shared" si="0"/>
        <v>8.6666666654637083</v>
      </c>
      <c r="D34" s="38">
        <v>303.33333329122979</v>
      </c>
      <c r="E34"/>
      <c r="F34"/>
    </row>
    <row r="35" spans="1:6" x14ac:dyDescent="0.25">
      <c r="A35" s="8" t="s">
        <v>484</v>
      </c>
      <c r="B35" s="4">
        <v>4</v>
      </c>
      <c r="C35" s="13">
        <f t="shared" si="0"/>
        <v>15.666666665812954</v>
      </c>
      <c r="D35" s="38">
        <v>548.3333333034534</v>
      </c>
      <c r="E35"/>
      <c r="F35"/>
    </row>
    <row r="36" spans="1:6" x14ac:dyDescent="0.25">
      <c r="A36" s="9" t="s">
        <v>146</v>
      </c>
      <c r="B36" s="10">
        <v>88</v>
      </c>
      <c r="C36" s="13"/>
      <c r="D36" s="38"/>
      <c r="E36"/>
      <c r="F36"/>
    </row>
    <row r="37" spans="1:6" x14ac:dyDescent="0.25">
      <c r="A37" s="8" t="s">
        <v>489</v>
      </c>
      <c r="B37" s="4">
        <v>38</v>
      </c>
      <c r="C37" s="4"/>
      <c r="D37" s="38"/>
      <c r="E37"/>
      <c r="F37"/>
    </row>
    <row r="38" spans="1:6" x14ac:dyDescent="0.25">
      <c r="A38" s="8" t="s">
        <v>490</v>
      </c>
      <c r="B38" s="4">
        <v>4</v>
      </c>
      <c r="C38" s="4"/>
      <c r="D38" s="38"/>
      <c r="E38"/>
      <c r="F38"/>
    </row>
    <row r="39" spans="1:6" x14ac:dyDescent="0.25">
      <c r="A39" s="8" t="s">
        <v>483</v>
      </c>
      <c r="B39" s="4">
        <v>7</v>
      </c>
      <c r="C39" s="4"/>
      <c r="D39" s="38"/>
      <c r="E39"/>
      <c r="F39"/>
    </row>
    <row r="40" spans="1:6" x14ac:dyDescent="0.25">
      <c r="A40" s="8" t="s">
        <v>480</v>
      </c>
      <c r="B40" s="4">
        <v>4</v>
      </c>
      <c r="C40" s="4"/>
      <c r="D40" s="38"/>
      <c r="E40"/>
      <c r="F40"/>
    </row>
    <row r="41" spans="1:6" x14ac:dyDescent="0.25">
      <c r="A41" s="8" t="s">
        <v>502</v>
      </c>
      <c r="B41" s="4">
        <v>7</v>
      </c>
      <c r="C41" s="4"/>
      <c r="D41" s="38"/>
      <c r="E41"/>
      <c r="F41"/>
    </row>
    <row r="42" spans="1:6" x14ac:dyDescent="0.25">
      <c r="A42" s="8" t="s">
        <v>485</v>
      </c>
      <c r="B42" s="4">
        <v>6</v>
      </c>
      <c r="C42" s="4"/>
      <c r="D42" s="38"/>
      <c r="E42"/>
      <c r="F42"/>
    </row>
    <row r="43" spans="1:6" x14ac:dyDescent="0.25">
      <c r="A43" s="8" t="s">
        <v>486</v>
      </c>
      <c r="B43" s="4">
        <v>12</v>
      </c>
      <c r="C43" s="4"/>
      <c r="D43" s="38"/>
      <c r="E43"/>
      <c r="F43"/>
    </row>
    <row r="44" spans="1:6" x14ac:dyDescent="0.25">
      <c r="A44" s="8" t="s">
        <v>481</v>
      </c>
      <c r="B44" s="4">
        <v>5</v>
      </c>
      <c r="C44" s="4"/>
      <c r="D44" s="38"/>
      <c r="E44"/>
      <c r="F44"/>
    </row>
    <row r="45" spans="1:6" x14ac:dyDescent="0.25">
      <c r="A45" s="8" t="s">
        <v>487</v>
      </c>
      <c r="B45" s="4">
        <v>5</v>
      </c>
      <c r="C45" s="4"/>
      <c r="D45" s="38"/>
      <c r="E45"/>
      <c r="F45"/>
    </row>
    <row r="46" spans="1:6" x14ac:dyDescent="0.25">
      <c r="A46" s="9" t="s">
        <v>410</v>
      </c>
      <c r="B46" s="10">
        <v>2</v>
      </c>
      <c r="C46" s="12">
        <f>D46/35</f>
        <v>9.3333333329064772</v>
      </c>
      <c r="D46" s="37">
        <v>326.6666666517267</v>
      </c>
      <c r="E46"/>
      <c r="F46"/>
    </row>
    <row r="47" spans="1:6" x14ac:dyDescent="0.25">
      <c r="A47" s="8" t="s">
        <v>502</v>
      </c>
      <c r="B47" s="4">
        <v>2</v>
      </c>
      <c r="C47" s="13">
        <f t="shared" ref="C47:C74" si="1">D47/35</f>
        <v>9.3333333329064772</v>
      </c>
      <c r="D47" s="38">
        <v>326.6666666517267</v>
      </c>
      <c r="E47"/>
      <c r="F47"/>
    </row>
    <row r="48" spans="1:6" x14ac:dyDescent="0.25">
      <c r="A48" s="9" t="s">
        <v>352</v>
      </c>
      <c r="B48" s="10">
        <v>11</v>
      </c>
      <c r="C48" s="12">
        <f t="shared" si="1"/>
        <v>51.750000005820766</v>
      </c>
      <c r="D48" s="37">
        <v>1811.2500002037268</v>
      </c>
      <c r="E48"/>
      <c r="F48"/>
    </row>
    <row r="49" spans="1:6" x14ac:dyDescent="0.25">
      <c r="A49" s="8" t="s">
        <v>488</v>
      </c>
      <c r="B49" s="4">
        <v>6</v>
      </c>
      <c r="C49" s="13">
        <f t="shared" si="1"/>
        <v>27.999999997671694</v>
      </c>
      <c r="D49" s="38">
        <v>979.99999991850927</v>
      </c>
      <c r="E49"/>
      <c r="F49"/>
    </row>
    <row r="50" spans="1:6" x14ac:dyDescent="0.25">
      <c r="A50" s="8" t="s">
        <v>483</v>
      </c>
      <c r="B50" s="4">
        <v>5</v>
      </c>
      <c r="C50" s="13">
        <f t="shared" si="1"/>
        <v>23.750000008149073</v>
      </c>
      <c r="D50" s="38">
        <v>831.25000028521754</v>
      </c>
      <c r="E50"/>
      <c r="F50"/>
    </row>
    <row r="51" spans="1:6" x14ac:dyDescent="0.25">
      <c r="A51" s="9" t="s">
        <v>147</v>
      </c>
      <c r="B51" s="10">
        <v>319</v>
      </c>
      <c r="C51" s="12">
        <f t="shared" si="1"/>
        <v>1419.8333334468771</v>
      </c>
      <c r="D51" s="37">
        <v>49694.166670640698</v>
      </c>
      <c r="E51"/>
      <c r="F51"/>
    </row>
    <row r="52" spans="1:6" x14ac:dyDescent="0.25">
      <c r="A52" s="8" t="s">
        <v>488</v>
      </c>
      <c r="B52" s="4">
        <v>24</v>
      </c>
      <c r="C52" s="13">
        <f t="shared" si="1"/>
        <v>111.83333331480389</v>
      </c>
      <c r="D52" s="38">
        <v>3914.1666660181363</v>
      </c>
      <c r="E52" t="s">
        <v>517</v>
      </c>
      <c r="F52"/>
    </row>
    <row r="53" spans="1:6" x14ac:dyDescent="0.25">
      <c r="A53" s="8" t="s">
        <v>490</v>
      </c>
      <c r="B53" s="4">
        <v>25</v>
      </c>
      <c r="C53" s="13">
        <f t="shared" si="1"/>
        <v>67.416666670877021</v>
      </c>
      <c r="D53" s="38">
        <v>2359.5833334806957</v>
      </c>
      <c r="E53" t="s">
        <v>517</v>
      </c>
      <c r="F53"/>
    </row>
    <row r="54" spans="1:6" x14ac:dyDescent="0.25">
      <c r="A54" s="8" t="s">
        <v>491</v>
      </c>
      <c r="B54" s="4">
        <v>22</v>
      </c>
      <c r="C54" s="13">
        <f t="shared" si="1"/>
        <v>104.50000003585592</v>
      </c>
      <c r="D54" s="38">
        <v>3657.5000012549572</v>
      </c>
      <c r="E54" t="s">
        <v>517</v>
      </c>
      <c r="F54"/>
    </row>
    <row r="55" spans="1:6" x14ac:dyDescent="0.25">
      <c r="A55" s="8" t="s">
        <v>482</v>
      </c>
      <c r="B55" s="4">
        <v>25</v>
      </c>
      <c r="C55" s="13">
        <f t="shared" si="1"/>
        <v>118.74999996519182</v>
      </c>
      <c r="D55" s="38">
        <v>4156.2499987817137</v>
      </c>
      <c r="E55" t="s">
        <v>517</v>
      </c>
      <c r="F55"/>
    </row>
    <row r="56" spans="1:6" x14ac:dyDescent="0.25">
      <c r="A56" s="8" t="s">
        <v>483</v>
      </c>
      <c r="B56" s="4">
        <v>17</v>
      </c>
      <c r="C56" s="13">
        <f t="shared" si="1"/>
        <v>83.5</v>
      </c>
      <c r="D56" s="38">
        <v>2922.5</v>
      </c>
      <c r="E56" t="s">
        <v>517</v>
      </c>
      <c r="F56"/>
    </row>
    <row r="57" spans="1:6" x14ac:dyDescent="0.25">
      <c r="A57" s="8" t="s">
        <v>478</v>
      </c>
      <c r="B57" s="4">
        <v>24</v>
      </c>
      <c r="C57" s="4">
        <f t="shared" si="1"/>
        <v>66</v>
      </c>
      <c r="D57" s="38">
        <v>2310</v>
      </c>
      <c r="E57" t="s">
        <v>517</v>
      </c>
      <c r="F57"/>
    </row>
    <row r="58" spans="1:6" x14ac:dyDescent="0.25">
      <c r="A58" s="8" t="s">
        <v>479</v>
      </c>
      <c r="B58" s="4">
        <v>17</v>
      </c>
      <c r="C58" s="4">
        <f t="shared" si="1"/>
        <v>75.500000025262125</v>
      </c>
      <c r="D58" s="38">
        <v>2642.5000008841744</v>
      </c>
      <c r="E58" t="s">
        <v>517</v>
      </c>
      <c r="F58"/>
    </row>
    <row r="59" spans="1:6" x14ac:dyDescent="0.25">
      <c r="A59" s="8" t="s">
        <v>484</v>
      </c>
      <c r="B59" s="4">
        <v>22</v>
      </c>
      <c r="C59" s="13">
        <f t="shared" si="1"/>
        <v>109.83333337120712</v>
      </c>
      <c r="D59" s="38">
        <v>3844.1666679922491</v>
      </c>
      <c r="E59" t="s">
        <v>517</v>
      </c>
      <c r="F59"/>
    </row>
    <row r="60" spans="1:6" x14ac:dyDescent="0.25">
      <c r="A60" s="8" t="s">
        <v>503</v>
      </c>
      <c r="B60" s="4">
        <v>55</v>
      </c>
      <c r="C60" s="13">
        <f t="shared" si="1"/>
        <v>267.58333337656222</v>
      </c>
      <c r="D60" s="38">
        <v>9365.4166681796778</v>
      </c>
      <c r="E60" t="s">
        <v>518</v>
      </c>
      <c r="F60"/>
    </row>
    <row r="61" spans="1:6" x14ac:dyDescent="0.25">
      <c r="A61" s="8" t="s">
        <v>485</v>
      </c>
      <c r="B61" s="4">
        <v>21</v>
      </c>
      <c r="C61" s="13">
        <f t="shared" si="1"/>
        <v>104.33333331858739</v>
      </c>
      <c r="D61" s="38">
        <v>3651.6666661505587</v>
      </c>
      <c r="E61" t="s">
        <v>518</v>
      </c>
      <c r="F61"/>
    </row>
    <row r="62" spans="1:6" x14ac:dyDescent="0.25">
      <c r="A62" s="8" t="s">
        <v>486</v>
      </c>
      <c r="B62" s="4">
        <v>26</v>
      </c>
      <c r="C62" s="13">
        <f t="shared" si="1"/>
        <v>128.50000000977889</v>
      </c>
      <c r="D62" s="38">
        <v>4497.500000342261</v>
      </c>
      <c r="E62" t="s">
        <v>518</v>
      </c>
      <c r="F62"/>
    </row>
    <row r="63" spans="1:6" x14ac:dyDescent="0.25">
      <c r="A63" s="8" t="s">
        <v>481</v>
      </c>
      <c r="B63" s="4">
        <v>25</v>
      </c>
      <c r="C63" s="13">
        <f t="shared" si="1"/>
        <v>123.7500000220025</v>
      </c>
      <c r="D63" s="38">
        <v>4331.2500007700874</v>
      </c>
      <c r="E63" t="s">
        <v>518</v>
      </c>
      <c r="F63"/>
    </row>
    <row r="64" spans="1:6" x14ac:dyDescent="0.25">
      <c r="A64" s="8" t="s">
        <v>487</v>
      </c>
      <c r="B64" s="4">
        <v>16</v>
      </c>
      <c r="C64" s="13">
        <f t="shared" si="1"/>
        <v>58.333333336748183</v>
      </c>
      <c r="D64" s="38">
        <v>2041.6666667861864</v>
      </c>
      <c r="E64" t="s">
        <v>518</v>
      </c>
      <c r="F64"/>
    </row>
    <row r="65" spans="1:6" x14ac:dyDescent="0.25">
      <c r="A65" s="9" t="s">
        <v>379</v>
      </c>
      <c r="B65" s="10">
        <v>14</v>
      </c>
      <c r="C65" s="12">
        <f t="shared" si="1"/>
        <v>73.250000005878974</v>
      </c>
      <c r="D65" s="37">
        <v>2563.7500002057641</v>
      </c>
      <c r="E65"/>
      <c r="F65"/>
    </row>
    <row r="66" spans="1:6" x14ac:dyDescent="0.25">
      <c r="A66" s="8" t="s">
        <v>484</v>
      </c>
      <c r="B66" s="4">
        <v>2</v>
      </c>
      <c r="C66" s="4">
        <f t="shared" si="1"/>
        <v>7.9999999983701855</v>
      </c>
      <c r="D66" s="38">
        <v>279.99999994295649</v>
      </c>
      <c r="E66"/>
      <c r="F66"/>
    </row>
    <row r="67" spans="1:6" x14ac:dyDescent="0.25">
      <c r="A67" s="8" t="s">
        <v>480</v>
      </c>
      <c r="B67" s="4">
        <v>3</v>
      </c>
      <c r="C67" s="4">
        <f t="shared" si="1"/>
        <v>18.749999997555278</v>
      </c>
      <c r="D67" s="38">
        <v>656.24999991443474</v>
      </c>
      <c r="E67"/>
      <c r="F67"/>
    </row>
    <row r="68" spans="1:6" x14ac:dyDescent="0.25">
      <c r="A68" s="8" t="s">
        <v>502</v>
      </c>
      <c r="B68" s="4">
        <v>3</v>
      </c>
      <c r="C68" s="4">
        <f t="shared" si="1"/>
        <v>15.250000003259629</v>
      </c>
      <c r="D68" s="38">
        <v>533.75000011408702</v>
      </c>
      <c r="E68"/>
      <c r="F68"/>
    </row>
    <row r="69" spans="1:6" x14ac:dyDescent="0.25">
      <c r="A69" s="8" t="s">
        <v>485</v>
      </c>
      <c r="B69" s="4">
        <v>3</v>
      </c>
      <c r="C69" s="4">
        <f t="shared" si="1"/>
        <v>15.250000005529728</v>
      </c>
      <c r="D69" s="38">
        <v>533.75000019354047</v>
      </c>
      <c r="E69"/>
      <c r="F69"/>
    </row>
    <row r="70" spans="1:6" x14ac:dyDescent="0.25">
      <c r="A70" s="8" t="s">
        <v>486</v>
      </c>
      <c r="B70" s="4">
        <v>3</v>
      </c>
      <c r="C70" s="4">
        <f t="shared" si="1"/>
        <v>16.000000001164153</v>
      </c>
      <c r="D70" s="38">
        <v>560.00000004074536</v>
      </c>
      <c r="E70"/>
      <c r="F70"/>
    </row>
    <row r="71" spans="1:6" x14ac:dyDescent="0.25">
      <c r="A71" s="9" t="s">
        <v>519</v>
      </c>
      <c r="B71" s="10">
        <v>24</v>
      </c>
      <c r="C71" s="12">
        <f t="shared" si="1"/>
        <v>99.333333332964685</v>
      </c>
      <c r="D71" s="37">
        <v>3476.666666653764</v>
      </c>
      <c r="E71"/>
      <c r="F71"/>
    </row>
    <row r="72" spans="1:6" x14ac:dyDescent="0.25">
      <c r="A72" s="8" t="s">
        <v>485</v>
      </c>
      <c r="B72" s="4">
        <v>8</v>
      </c>
      <c r="C72" s="13">
        <f t="shared" si="1"/>
        <v>16.666666666045785</v>
      </c>
      <c r="D72" s="38">
        <v>583.33333331160247</v>
      </c>
      <c r="E72"/>
      <c r="F72"/>
    </row>
    <row r="73" spans="1:6" x14ac:dyDescent="0.25">
      <c r="A73" s="8" t="s">
        <v>481</v>
      </c>
      <c r="B73" s="4">
        <v>8</v>
      </c>
      <c r="C73" s="13">
        <f t="shared" si="1"/>
        <v>44.666666666453239</v>
      </c>
      <c r="D73" s="38">
        <v>1563.3333333258634</v>
      </c>
      <c r="E73"/>
      <c r="F73"/>
    </row>
    <row r="74" spans="1:6" x14ac:dyDescent="0.25">
      <c r="A74" s="8" t="s">
        <v>487</v>
      </c>
      <c r="B74" s="4">
        <v>8</v>
      </c>
      <c r="C74" s="4">
        <f t="shared" si="1"/>
        <v>38.000000000465661</v>
      </c>
      <c r="D74" s="38">
        <v>1330.0000000162981</v>
      </c>
      <c r="E74"/>
      <c r="F74"/>
    </row>
    <row r="75" spans="1:6" x14ac:dyDescent="0.25">
      <c r="A75" s="9" t="s">
        <v>520</v>
      </c>
      <c r="B75" s="10">
        <v>29</v>
      </c>
      <c r="C75" s="10">
        <f>D75/180</f>
        <v>29</v>
      </c>
      <c r="D75" s="37">
        <v>5220</v>
      </c>
      <c r="E75"/>
      <c r="F75"/>
    </row>
    <row r="76" spans="1:6" x14ac:dyDescent="0.25">
      <c r="A76" s="8" t="s">
        <v>488</v>
      </c>
      <c r="B76" s="4">
        <v>11</v>
      </c>
      <c r="C76" s="4">
        <f t="shared" ref="C76:C79" si="2">D76/180</f>
        <v>11</v>
      </c>
      <c r="D76" s="38">
        <v>1980</v>
      </c>
      <c r="E76" s="155" t="s">
        <v>633</v>
      </c>
      <c r="F76" s="155" t="s">
        <v>635</v>
      </c>
    </row>
    <row r="77" spans="1:6" x14ac:dyDescent="0.25">
      <c r="A77" s="8" t="s">
        <v>482</v>
      </c>
      <c r="B77" s="4">
        <v>6</v>
      </c>
      <c r="C77" s="4">
        <f t="shared" si="2"/>
        <v>6</v>
      </c>
      <c r="D77" s="38">
        <v>1080</v>
      </c>
      <c r="E77" s="155" t="s">
        <v>633</v>
      </c>
      <c r="F77" s="155"/>
    </row>
    <row r="78" spans="1:6" x14ac:dyDescent="0.25">
      <c r="A78" s="8" t="s">
        <v>483</v>
      </c>
      <c r="B78" s="4">
        <v>6</v>
      </c>
      <c r="C78" s="4">
        <f t="shared" si="2"/>
        <v>6</v>
      </c>
      <c r="D78" s="38">
        <v>1080</v>
      </c>
      <c r="E78" s="155" t="s">
        <v>633</v>
      </c>
      <c r="F78" s="155"/>
    </row>
    <row r="79" spans="1:6" x14ac:dyDescent="0.25">
      <c r="A79" s="8" t="s">
        <v>478</v>
      </c>
      <c r="B79" s="4">
        <v>6</v>
      </c>
      <c r="C79" s="4">
        <f t="shared" si="2"/>
        <v>6</v>
      </c>
      <c r="D79" s="38">
        <v>1080</v>
      </c>
      <c r="E79" s="155" t="s">
        <v>633</v>
      </c>
      <c r="F79" s="155"/>
    </row>
    <row r="80" spans="1:6" x14ac:dyDescent="0.25">
      <c r="A80" s="9" t="s">
        <v>521</v>
      </c>
      <c r="B80" s="10">
        <v>4</v>
      </c>
      <c r="C80" s="10">
        <f>D80/35</f>
        <v>16.000000000232831</v>
      </c>
      <c r="D80" s="37">
        <v>560.00000000814907</v>
      </c>
      <c r="E80"/>
      <c r="F80"/>
    </row>
    <row r="81" spans="1:6" x14ac:dyDescent="0.25">
      <c r="A81" s="8" t="s">
        <v>478</v>
      </c>
      <c r="B81" s="4">
        <v>2</v>
      </c>
      <c r="C81" s="4">
        <f t="shared" ref="C81:C85" si="3">D81/35</f>
        <v>7.5000000002328306</v>
      </c>
      <c r="D81" s="38">
        <v>262.50000000814907</v>
      </c>
      <c r="E81"/>
      <c r="F81"/>
    </row>
    <row r="82" spans="1:6" x14ac:dyDescent="0.25">
      <c r="A82" s="8" t="s">
        <v>479</v>
      </c>
      <c r="B82" s="4">
        <v>2</v>
      </c>
      <c r="C82" s="4">
        <f t="shared" si="3"/>
        <v>8.5</v>
      </c>
      <c r="D82" s="38">
        <v>297.5</v>
      </c>
      <c r="E82"/>
      <c r="F82"/>
    </row>
    <row r="83" spans="1:6" x14ac:dyDescent="0.25">
      <c r="A83" s="9" t="s">
        <v>148</v>
      </c>
      <c r="B83" s="10">
        <v>18</v>
      </c>
      <c r="C83" s="10">
        <f t="shared" si="3"/>
        <v>76.250000006693881</v>
      </c>
      <c r="D83" s="37">
        <v>2668.7500002342858</v>
      </c>
      <c r="E83"/>
      <c r="F83"/>
    </row>
    <row r="84" spans="1:6" x14ac:dyDescent="0.25">
      <c r="A84" s="8" t="s">
        <v>484</v>
      </c>
      <c r="B84" s="4">
        <v>9</v>
      </c>
      <c r="C84" s="4">
        <f t="shared" si="3"/>
        <v>42.499999999359716</v>
      </c>
      <c r="D84" s="38">
        <v>1487.4999999775901</v>
      </c>
      <c r="E84"/>
      <c r="F84"/>
    </row>
    <row r="85" spans="1:6" x14ac:dyDescent="0.25">
      <c r="A85" s="8" t="s">
        <v>480</v>
      </c>
      <c r="B85" s="4">
        <v>9</v>
      </c>
      <c r="C85" s="4">
        <f t="shared" si="3"/>
        <v>33.750000007334165</v>
      </c>
      <c r="D85" s="38">
        <v>1181.2500002566958</v>
      </c>
      <c r="E85"/>
      <c r="F85"/>
    </row>
    <row r="86" spans="1:6" x14ac:dyDescent="0.25">
      <c r="A86" s="9" t="s">
        <v>522</v>
      </c>
      <c r="B86" s="10">
        <v>57</v>
      </c>
      <c r="C86" s="10">
        <f>D86/130</f>
        <v>57</v>
      </c>
      <c r="D86" s="37">
        <v>7410</v>
      </c>
      <c r="E86" s="155" t="s">
        <v>634</v>
      </c>
      <c r="F86" s="155"/>
    </row>
    <row r="87" spans="1:6" x14ac:dyDescent="0.25">
      <c r="A87" s="8" t="s">
        <v>502</v>
      </c>
      <c r="B87" s="4">
        <v>57</v>
      </c>
      <c r="C87" s="4">
        <f>D87/130</f>
        <v>57</v>
      </c>
      <c r="D87" s="38">
        <v>7410</v>
      </c>
      <c r="E87" s="155" t="s">
        <v>634</v>
      </c>
      <c r="F87" s="155"/>
    </row>
    <row r="88" spans="1:6" x14ac:dyDescent="0.25">
      <c r="A88" s="9" t="s">
        <v>200</v>
      </c>
      <c r="B88" s="10">
        <v>8</v>
      </c>
      <c r="C88" s="12">
        <f>D88/35</f>
        <v>30.833333329646848</v>
      </c>
      <c r="D88" s="37">
        <v>1079.1666665376397</v>
      </c>
      <c r="E88"/>
      <c r="F88"/>
    </row>
    <row r="89" spans="1:6" x14ac:dyDescent="0.25">
      <c r="A89" s="8" t="s">
        <v>478</v>
      </c>
      <c r="B89" s="4">
        <v>2</v>
      </c>
      <c r="C89" s="13">
        <f t="shared" ref="C89:C93" si="4">D89/35</f>
        <v>8.5</v>
      </c>
      <c r="D89" s="38">
        <v>297.5</v>
      </c>
      <c r="E89"/>
      <c r="F89"/>
    </row>
    <row r="90" spans="1:6" x14ac:dyDescent="0.25">
      <c r="A90" s="8" t="s">
        <v>502</v>
      </c>
      <c r="B90" s="4">
        <v>2</v>
      </c>
      <c r="C90" s="13">
        <f t="shared" si="4"/>
        <v>7.499999996740371</v>
      </c>
      <c r="D90" s="38">
        <v>262.49999988591298</v>
      </c>
      <c r="E90"/>
      <c r="F90"/>
    </row>
    <row r="91" spans="1:6" x14ac:dyDescent="0.25">
      <c r="A91" s="8" t="s">
        <v>486</v>
      </c>
      <c r="B91" s="4">
        <v>2</v>
      </c>
      <c r="C91" s="13">
        <f t="shared" si="4"/>
        <v>7.5000000016298145</v>
      </c>
      <c r="D91" s="38">
        <v>262.50000005704351</v>
      </c>
      <c r="E91"/>
      <c r="F91"/>
    </row>
    <row r="92" spans="1:6" x14ac:dyDescent="0.25">
      <c r="A92" s="8" t="s">
        <v>481</v>
      </c>
      <c r="B92" s="4">
        <v>2</v>
      </c>
      <c r="C92" s="13">
        <f t="shared" si="4"/>
        <v>7.3333333312766626</v>
      </c>
      <c r="D92" s="38">
        <v>256.66666659468319</v>
      </c>
      <c r="E92"/>
      <c r="F92"/>
    </row>
    <row r="93" spans="1:6" x14ac:dyDescent="0.25">
      <c r="A93" s="35" t="s">
        <v>523</v>
      </c>
      <c r="B93" s="36">
        <v>869</v>
      </c>
      <c r="C93" s="39">
        <f t="shared" si="4"/>
        <v>3397.5238097327942</v>
      </c>
      <c r="D93" s="40">
        <v>118913.33334064781</v>
      </c>
      <c r="E93"/>
      <c r="F93"/>
    </row>
  </sheetData>
  <pageMargins left="0.25" right="0.25" top="0.75" bottom="0.75" header="0.3" footer="0.3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6D7E-7FFF-48C5-A0DF-2DFA1CCA3C64}">
  <sheetPr>
    <pageSetUpPr fitToPage="1"/>
  </sheetPr>
  <dimension ref="A1:E122"/>
  <sheetViews>
    <sheetView rightToLeft="1" workbookViewId="0">
      <selection activeCell="G16" sqref="G16"/>
    </sheetView>
  </sheetViews>
  <sheetFormatPr defaultRowHeight="13.8" x14ac:dyDescent="0.25"/>
  <cols>
    <col min="1" max="1" width="21.69921875" customWidth="1"/>
    <col min="5" max="5" width="8.69921875" style="3"/>
  </cols>
  <sheetData>
    <row r="1" spans="1:4" x14ac:dyDescent="0.25">
      <c r="A1" s="49" t="s">
        <v>262</v>
      </c>
      <c r="B1" s="49" t="s">
        <v>551</v>
      </c>
      <c r="C1" s="49" t="s">
        <v>500</v>
      </c>
      <c r="D1" s="49" t="s">
        <v>514</v>
      </c>
    </row>
    <row r="2" spans="1:4" x14ac:dyDescent="0.25">
      <c r="A2" s="11" t="s">
        <v>552</v>
      </c>
      <c r="B2" s="5">
        <v>9</v>
      </c>
      <c r="C2" s="26">
        <f>D2/36</f>
        <v>43.500000000000007</v>
      </c>
      <c r="D2" s="5">
        <v>1566.0000000000002</v>
      </c>
    </row>
    <row r="3" spans="1:4" x14ac:dyDescent="0.25">
      <c r="A3" s="50">
        <v>46079.3125</v>
      </c>
      <c r="B3" s="4">
        <v>9</v>
      </c>
      <c r="C3" s="13">
        <f t="shared" ref="C3:C66" si="0">D3/36</f>
        <v>43.500000000000007</v>
      </c>
      <c r="D3" s="4">
        <v>1566.0000000000002</v>
      </c>
    </row>
    <row r="4" spans="1:4" x14ac:dyDescent="0.25">
      <c r="A4" s="11" t="s">
        <v>316</v>
      </c>
      <c r="B4" s="5">
        <v>52</v>
      </c>
      <c r="C4" s="26">
        <f t="shared" si="0"/>
        <v>225.16666669788538</v>
      </c>
      <c r="D4" s="5">
        <v>8106.0000011238735</v>
      </c>
    </row>
    <row r="5" spans="1:4" x14ac:dyDescent="0.25">
      <c r="A5" s="50">
        <v>46064.263888888891</v>
      </c>
      <c r="B5" s="4">
        <v>9</v>
      </c>
      <c r="C5" s="13">
        <f t="shared" si="0"/>
        <v>44.250000005413312</v>
      </c>
      <c r="D5" s="4">
        <v>1593.0000001948792</v>
      </c>
    </row>
    <row r="6" spans="1:4" x14ac:dyDescent="0.25">
      <c r="A6" s="50">
        <v>46069.256944444445</v>
      </c>
      <c r="B6" s="4">
        <v>6</v>
      </c>
      <c r="C6" s="13">
        <f t="shared" si="0"/>
        <v>30.500000011059456</v>
      </c>
      <c r="D6" s="4">
        <v>1098.0000003981404</v>
      </c>
    </row>
    <row r="7" spans="1:4" x14ac:dyDescent="0.25">
      <c r="A7" s="50">
        <v>46069.260416666664</v>
      </c>
      <c r="B7" s="4">
        <v>3</v>
      </c>
      <c r="C7" s="13">
        <f t="shared" si="0"/>
        <v>12.666666662204079</v>
      </c>
      <c r="D7" s="4">
        <v>455.99999983934686</v>
      </c>
    </row>
    <row r="8" spans="1:4" x14ac:dyDescent="0.25">
      <c r="A8" s="50">
        <v>46070.1875</v>
      </c>
      <c r="B8" s="4">
        <v>5</v>
      </c>
      <c r="C8" s="13">
        <f t="shared" si="0"/>
        <v>25</v>
      </c>
      <c r="D8" s="4">
        <v>900</v>
      </c>
    </row>
    <row r="9" spans="1:4" x14ac:dyDescent="0.25">
      <c r="A9" s="50">
        <v>46070.270833333336</v>
      </c>
      <c r="B9" s="4">
        <v>4</v>
      </c>
      <c r="C9" s="13">
        <f t="shared" si="0"/>
        <v>15.166666668723337</v>
      </c>
      <c r="D9" s="4">
        <v>546.00000007404014</v>
      </c>
    </row>
    <row r="10" spans="1:4" x14ac:dyDescent="0.25">
      <c r="A10" s="50">
        <v>46071.194444444445</v>
      </c>
      <c r="B10" s="4">
        <v>5</v>
      </c>
      <c r="C10" s="13">
        <f t="shared" si="0"/>
        <v>23.750000008149073</v>
      </c>
      <c r="D10" s="4">
        <v>855.00000029336661</v>
      </c>
    </row>
    <row r="11" spans="1:4" x14ac:dyDescent="0.25">
      <c r="A11" s="50">
        <v>46072.270833333336</v>
      </c>
      <c r="B11" s="4">
        <v>8</v>
      </c>
      <c r="C11" s="13">
        <f t="shared" si="0"/>
        <v>37.66666667687241</v>
      </c>
      <c r="D11" s="4">
        <v>1356.0000003674068</v>
      </c>
    </row>
    <row r="12" spans="1:4" x14ac:dyDescent="0.25">
      <c r="A12" s="50">
        <v>46076.270833333336</v>
      </c>
      <c r="B12" s="4">
        <v>8</v>
      </c>
      <c r="C12" s="13">
        <f t="shared" si="0"/>
        <v>33.666666668723337</v>
      </c>
      <c r="D12" s="4">
        <v>1212.0000000740401</v>
      </c>
    </row>
    <row r="13" spans="1:4" x14ac:dyDescent="0.25">
      <c r="A13" s="50">
        <v>46076.416666666664</v>
      </c>
      <c r="B13" s="4">
        <v>4</v>
      </c>
      <c r="C13" s="13">
        <f t="shared" si="0"/>
        <v>2.499999996740371</v>
      </c>
      <c r="D13" s="4">
        <v>89.999999882653356</v>
      </c>
    </row>
    <row r="14" spans="1:4" x14ac:dyDescent="0.25">
      <c r="A14" s="11" t="s">
        <v>471</v>
      </c>
      <c r="B14" s="5">
        <v>306</v>
      </c>
      <c r="C14" s="26">
        <f t="shared" si="0"/>
        <v>1406.4999999890763</v>
      </c>
      <c r="D14" s="5">
        <v>50633.999999606749</v>
      </c>
    </row>
    <row r="15" spans="1:4" x14ac:dyDescent="0.25">
      <c r="A15" s="50">
        <v>46056.1875</v>
      </c>
      <c r="B15" s="4">
        <v>14</v>
      </c>
      <c r="C15" s="13">
        <f t="shared" si="0"/>
        <v>66.499999988591298</v>
      </c>
      <c r="D15" s="4">
        <v>2393.9999995892867</v>
      </c>
    </row>
    <row r="16" spans="1:4" x14ac:dyDescent="0.25">
      <c r="A16" s="50">
        <v>46056.270833333336</v>
      </c>
      <c r="B16" s="4">
        <v>3</v>
      </c>
      <c r="C16" s="13">
        <f t="shared" si="0"/>
        <v>13.750000000640284</v>
      </c>
      <c r="D16" s="4">
        <v>495.00000002305023</v>
      </c>
    </row>
    <row r="17" spans="1:4" x14ac:dyDescent="0.25">
      <c r="A17" s="50">
        <v>46057.1875</v>
      </c>
      <c r="B17" s="4">
        <v>15</v>
      </c>
      <c r="C17" s="13">
        <f t="shared" si="0"/>
        <v>71.249999987776391</v>
      </c>
      <c r="D17" s="4">
        <v>2564.9999995599501</v>
      </c>
    </row>
    <row r="18" spans="1:4" x14ac:dyDescent="0.25">
      <c r="A18" s="50">
        <v>46057.270833333336</v>
      </c>
      <c r="B18" s="4">
        <v>10</v>
      </c>
      <c r="C18" s="13">
        <f t="shared" si="0"/>
        <v>45.833333335467614</v>
      </c>
      <c r="D18" s="4">
        <v>1650.0000000768341</v>
      </c>
    </row>
    <row r="19" spans="1:4" x14ac:dyDescent="0.25">
      <c r="A19" s="50">
        <v>46058.270833333336</v>
      </c>
      <c r="B19" s="4">
        <v>27</v>
      </c>
      <c r="C19" s="13">
        <f t="shared" si="0"/>
        <v>120.83333335857606</v>
      </c>
      <c r="D19" s="4">
        <v>4350.000000908738</v>
      </c>
    </row>
    <row r="20" spans="1:4" x14ac:dyDescent="0.25">
      <c r="A20" s="50">
        <v>46062.1875</v>
      </c>
      <c r="B20" s="4">
        <v>16</v>
      </c>
      <c r="C20" s="13">
        <f t="shared" si="0"/>
        <v>75.999999986961484</v>
      </c>
      <c r="D20" s="4">
        <v>2735.9999995306134</v>
      </c>
    </row>
    <row r="21" spans="1:4" x14ac:dyDescent="0.25">
      <c r="A21" s="50">
        <v>46062.270833333336</v>
      </c>
      <c r="B21" s="4">
        <v>9</v>
      </c>
      <c r="C21" s="13">
        <f t="shared" si="0"/>
        <v>41.250000001920853</v>
      </c>
      <c r="D21" s="4">
        <v>1485.0000000691507</v>
      </c>
    </row>
    <row r="22" spans="1:4" x14ac:dyDescent="0.25">
      <c r="A22" s="50">
        <v>46063.270833333336</v>
      </c>
      <c r="B22" s="4">
        <v>28</v>
      </c>
      <c r="C22" s="13">
        <f t="shared" si="0"/>
        <v>131.16666669672122</v>
      </c>
      <c r="D22" s="4">
        <v>4722.000001081964</v>
      </c>
    </row>
    <row r="23" spans="1:4" x14ac:dyDescent="0.25">
      <c r="A23" s="50">
        <v>46064.1875</v>
      </c>
      <c r="B23" s="4">
        <v>5</v>
      </c>
      <c r="C23" s="13">
        <f t="shared" si="0"/>
        <v>23.749999995925464</v>
      </c>
      <c r="D23" s="4">
        <v>854.99999985331669</v>
      </c>
    </row>
    <row r="24" spans="1:4" x14ac:dyDescent="0.25">
      <c r="A24" s="50">
        <v>46064.270833333336</v>
      </c>
      <c r="B24" s="4">
        <v>4</v>
      </c>
      <c r="C24" s="13">
        <f t="shared" si="0"/>
        <v>18.333333334187046</v>
      </c>
      <c r="D24" s="4">
        <v>660.00000003073364</v>
      </c>
    </row>
    <row r="25" spans="1:4" x14ac:dyDescent="0.25">
      <c r="A25" s="50">
        <v>46065.1875</v>
      </c>
      <c r="B25" s="4">
        <v>7</v>
      </c>
      <c r="C25" s="13">
        <f t="shared" si="0"/>
        <v>33.249999994295649</v>
      </c>
      <c r="D25" s="4">
        <v>1196.9999997946434</v>
      </c>
    </row>
    <row r="26" spans="1:4" x14ac:dyDescent="0.25">
      <c r="A26" s="50">
        <v>46065.270833333336</v>
      </c>
      <c r="B26" s="4">
        <v>5</v>
      </c>
      <c r="C26" s="13">
        <f t="shared" si="0"/>
        <v>22.916666667733807</v>
      </c>
      <c r="D26" s="4">
        <v>825.00000003841706</v>
      </c>
    </row>
    <row r="27" spans="1:4" x14ac:dyDescent="0.25">
      <c r="A27" s="50">
        <v>46069.1875</v>
      </c>
      <c r="B27" s="4">
        <v>12</v>
      </c>
      <c r="C27" s="13">
        <f t="shared" si="0"/>
        <v>56.999999990221113</v>
      </c>
      <c r="D27" s="4">
        <v>2051.9999996479601</v>
      </c>
    </row>
    <row r="28" spans="1:4" x14ac:dyDescent="0.25">
      <c r="A28" s="50">
        <v>46069.270833333336</v>
      </c>
      <c r="B28" s="4">
        <v>8</v>
      </c>
      <c r="C28" s="13">
        <f t="shared" si="0"/>
        <v>36.666666668374091</v>
      </c>
      <c r="D28" s="4">
        <v>1320.0000000614673</v>
      </c>
    </row>
    <row r="29" spans="1:4" x14ac:dyDescent="0.25">
      <c r="A29" s="50">
        <v>46070.28125</v>
      </c>
      <c r="B29" s="4">
        <v>16</v>
      </c>
      <c r="C29" s="13">
        <f t="shared" si="0"/>
        <v>70.833333336457144</v>
      </c>
      <c r="D29" s="4">
        <v>2550.0000001124572</v>
      </c>
    </row>
    <row r="30" spans="1:4" x14ac:dyDescent="0.25">
      <c r="A30" s="50">
        <v>46071.1875</v>
      </c>
      <c r="B30" s="4">
        <v>8</v>
      </c>
      <c r="C30" s="13">
        <f t="shared" si="0"/>
        <v>37.999999993480742</v>
      </c>
      <c r="D30" s="4">
        <v>1367.9999997653067</v>
      </c>
    </row>
    <row r="31" spans="1:4" x14ac:dyDescent="0.25">
      <c r="A31" s="50">
        <v>46071.270833333336</v>
      </c>
      <c r="B31" s="4">
        <v>8</v>
      </c>
      <c r="C31" s="13">
        <f t="shared" si="0"/>
        <v>36.833333336457144</v>
      </c>
      <c r="D31" s="4">
        <v>1326.0000001124572</v>
      </c>
    </row>
    <row r="32" spans="1:4" x14ac:dyDescent="0.25">
      <c r="A32" s="50">
        <v>46072.1875</v>
      </c>
      <c r="B32" s="4">
        <v>14</v>
      </c>
      <c r="C32" s="13">
        <f t="shared" si="0"/>
        <v>66.499999988591298</v>
      </c>
      <c r="D32" s="4">
        <v>2393.9999995892867</v>
      </c>
    </row>
    <row r="33" spans="1:4" x14ac:dyDescent="0.25">
      <c r="A33" s="50">
        <v>46072.270833333336</v>
      </c>
      <c r="B33" s="4">
        <v>5</v>
      </c>
      <c r="C33" s="13">
        <f t="shared" si="0"/>
        <v>22.916666667733807</v>
      </c>
      <c r="D33" s="4">
        <v>825.00000003841706</v>
      </c>
    </row>
    <row r="34" spans="1:4" x14ac:dyDescent="0.25">
      <c r="A34" s="50">
        <v>46076.416666666664</v>
      </c>
      <c r="B34" s="4">
        <v>19</v>
      </c>
      <c r="C34" s="13">
        <f t="shared" si="0"/>
        <v>88.916666666666686</v>
      </c>
      <c r="D34" s="4">
        <v>3201.0000000000005</v>
      </c>
    </row>
    <row r="35" spans="1:4" x14ac:dyDescent="0.25">
      <c r="A35" s="50">
        <v>46077.3125</v>
      </c>
      <c r="B35" s="4">
        <v>32</v>
      </c>
      <c r="C35" s="13">
        <f t="shared" si="0"/>
        <v>141.08333333333337</v>
      </c>
      <c r="D35" s="4">
        <v>5079.0000000000009</v>
      </c>
    </row>
    <row r="36" spans="1:4" x14ac:dyDescent="0.25">
      <c r="A36" s="50">
        <v>46078.194444444445</v>
      </c>
      <c r="B36" s="4">
        <v>9</v>
      </c>
      <c r="C36" s="13">
        <f t="shared" si="0"/>
        <v>41.250000001920853</v>
      </c>
      <c r="D36" s="4">
        <v>1485.0000000691507</v>
      </c>
    </row>
    <row r="37" spans="1:4" x14ac:dyDescent="0.25">
      <c r="A37" s="50">
        <v>46078.277777777781</v>
      </c>
      <c r="B37" s="4">
        <v>8</v>
      </c>
      <c r="C37" s="13">
        <f t="shared" si="0"/>
        <v>35.333333323709667</v>
      </c>
      <c r="D37" s="4">
        <v>1271.999999653548</v>
      </c>
    </row>
    <row r="38" spans="1:4" x14ac:dyDescent="0.25">
      <c r="A38" s="50">
        <v>46079.3125</v>
      </c>
      <c r="B38" s="4">
        <v>24</v>
      </c>
      <c r="C38" s="13">
        <f t="shared" si="0"/>
        <v>106.33333333333336</v>
      </c>
      <c r="D38" s="4">
        <v>3828.0000000000009</v>
      </c>
    </row>
    <row r="39" spans="1:4" x14ac:dyDescent="0.25">
      <c r="A39" s="11" t="s">
        <v>206</v>
      </c>
      <c r="B39" s="5">
        <v>63</v>
      </c>
      <c r="C39" s="26">
        <f t="shared" si="0"/>
        <v>276.83333332731854</v>
      </c>
      <c r="D39" s="5">
        <v>9965.9999997834675</v>
      </c>
    </row>
    <row r="40" spans="1:4" x14ac:dyDescent="0.25">
      <c r="A40" s="50">
        <v>46055.184027777781</v>
      </c>
      <c r="B40" s="4">
        <v>3</v>
      </c>
      <c r="C40" s="13">
        <f t="shared" si="0"/>
        <v>14.499999995750841</v>
      </c>
      <c r="D40" s="4">
        <v>521.99999984703027</v>
      </c>
    </row>
    <row r="41" spans="1:4" x14ac:dyDescent="0.25">
      <c r="A41" s="50">
        <v>46055.1875</v>
      </c>
      <c r="B41" s="4">
        <v>8</v>
      </c>
      <c r="C41" s="13">
        <f t="shared" si="0"/>
        <v>38.666666674893349</v>
      </c>
      <c r="D41" s="4">
        <v>1392.0000002961606</v>
      </c>
    </row>
    <row r="42" spans="1:4" x14ac:dyDescent="0.25">
      <c r="A42" s="50">
        <v>46055.267361111109</v>
      </c>
      <c r="B42" s="4">
        <v>2</v>
      </c>
      <c r="C42" s="13">
        <f t="shared" si="0"/>
        <v>9.3333333325572312</v>
      </c>
      <c r="D42" s="4">
        <v>335.99999997206032</v>
      </c>
    </row>
    <row r="43" spans="1:4" x14ac:dyDescent="0.25">
      <c r="A43" s="50">
        <v>46055.270833333336</v>
      </c>
      <c r="B43" s="4">
        <v>1</v>
      </c>
      <c r="C43" s="13">
        <f t="shared" si="0"/>
        <v>0.83333333354676142</v>
      </c>
      <c r="D43" s="4">
        <v>30.000000007683411</v>
      </c>
    </row>
    <row r="44" spans="1:4" x14ac:dyDescent="0.25">
      <c r="A44" s="50">
        <v>46057.190972222219</v>
      </c>
      <c r="B44" s="4">
        <v>1</v>
      </c>
      <c r="C44" s="13">
        <f t="shared" si="0"/>
        <v>4.6666666664532386</v>
      </c>
      <c r="D44" s="4">
        <v>167.99999999231659</v>
      </c>
    </row>
    <row r="45" spans="1:4" x14ac:dyDescent="0.25">
      <c r="A45" s="50">
        <v>46057.274305555555</v>
      </c>
      <c r="B45" s="4">
        <v>3</v>
      </c>
      <c r="C45" s="13">
        <f t="shared" si="0"/>
        <v>13.499999995110556</v>
      </c>
      <c r="D45" s="4">
        <v>485.99999982398003</v>
      </c>
    </row>
    <row r="46" spans="1:4" x14ac:dyDescent="0.25">
      <c r="A46" s="50">
        <v>46058.180555555555</v>
      </c>
      <c r="B46" s="4">
        <v>2</v>
      </c>
      <c r="C46" s="13">
        <f t="shared" si="0"/>
        <v>9.4999999983701855</v>
      </c>
      <c r="D46" s="4">
        <v>341.99999994132668</v>
      </c>
    </row>
    <row r="47" spans="1:4" x14ac:dyDescent="0.25">
      <c r="A47" s="50">
        <v>46058.263888888891</v>
      </c>
      <c r="B47" s="4">
        <v>2</v>
      </c>
      <c r="C47" s="13">
        <f t="shared" si="0"/>
        <v>9.1666666674427688</v>
      </c>
      <c r="D47" s="4">
        <v>330.00000002793968</v>
      </c>
    </row>
    <row r="48" spans="1:4" x14ac:dyDescent="0.25">
      <c r="A48" s="50">
        <v>46062.201388888891</v>
      </c>
      <c r="B48" s="4">
        <v>3</v>
      </c>
      <c r="C48" s="13">
        <f t="shared" si="0"/>
        <v>12.75</v>
      </c>
      <c r="D48" s="4">
        <v>459</v>
      </c>
    </row>
    <row r="49" spans="1:4" x14ac:dyDescent="0.25">
      <c r="A49" s="50">
        <v>46062.284722222219</v>
      </c>
      <c r="B49" s="4">
        <v>3</v>
      </c>
      <c r="C49" s="13">
        <f t="shared" si="0"/>
        <v>12.250000003608875</v>
      </c>
      <c r="D49" s="4">
        <v>441.0000001299195</v>
      </c>
    </row>
    <row r="50" spans="1:4" x14ac:dyDescent="0.25">
      <c r="A50" s="50">
        <v>46063.1875</v>
      </c>
      <c r="B50" s="4">
        <v>2</v>
      </c>
      <c r="C50" s="13">
        <f t="shared" si="0"/>
        <v>9.4999999983701855</v>
      </c>
      <c r="D50" s="4">
        <v>341.99999994132668</v>
      </c>
    </row>
    <row r="51" spans="1:4" x14ac:dyDescent="0.25">
      <c r="A51" s="50">
        <v>46063.270833333336</v>
      </c>
      <c r="B51" s="4">
        <v>3</v>
      </c>
      <c r="C51" s="13">
        <f t="shared" si="0"/>
        <v>13.750000000640284</v>
      </c>
      <c r="D51" s="4">
        <v>495.00000002305023</v>
      </c>
    </row>
    <row r="52" spans="1:4" x14ac:dyDescent="0.25">
      <c r="A52" s="50">
        <v>46069.194444444445</v>
      </c>
      <c r="B52" s="4">
        <v>4</v>
      </c>
      <c r="C52" s="13">
        <f t="shared" si="0"/>
        <v>18.333333334187046</v>
      </c>
      <c r="D52" s="4">
        <v>660.00000003073364</v>
      </c>
    </row>
    <row r="53" spans="1:4" x14ac:dyDescent="0.25">
      <c r="A53" s="50">
        <v>46069.277777777781</v>
      </c>
      <c r="B53" s="4">
        <v>3</v>
      </c>
      <c r="C53" s="13">
        <f t="shared" si="0"/>
        <v>9.9166666630189866</v>
      </c>
      <c r="D53" s="4">
        <v>356.99999986868352</v>
      </c>
    </row>
    <row r="54" spans="1:4" x14ac:dyDescent="0.25">
      <c r="A54" s="50">
        <v>46070.197916666664</v>
      </c>
      <c r="B54" s="4">
        <v>3</v>
      </c>
      <c r="C54" s="13">
        <f t="shared" si="0"/>
        <v>12.999999998195563</v>
      </c>
      <c r="D54" s="4">
        <v>467.99999993504025</v>
      </c>
    </row>
    <row r="55" spans="1:4" x14ac:dyDescent="0.25">
      <c r="A55" s="50">
        <v>46070.28125</v>
      </c>
      <c r="B55" s="4">
        <v>3</v>
      </c>
      <c r="C55" s="13">
        <f t="shared" si="0"/>
        <v>12.500000001804437</v>
      </c>
      <c r="D55" s="4">
        <v>450.00000006495975</v>
      </c>
    </row>
    <row r="56" spans="1:4" x14ac:dyDescent="0.25">
      <c r="A56" s="50">
        <v>46071.170138888891</v>
      </c>
      <c r="B56" s="4">
        <v>2</v>
      </c>
      <c r="C56" s="13">
        <f t="shared" si="0"/>
        <v>10.333333331276663</v>
      </c>
      <c r="D56" s="4">
        <v>371.99999992595986</v>
      </c>
    </row>
    <row r="57" spans="1:4" x14ac:dyDescent="0.25">
      <c r="A57" s="50">
        <v>46071.253472222219</v>
      </c>
      <c r="B57" s="4">
        <v>1</v>
      </c>
      <c r="C57" s="13">
        <f t="shared" si="0"/>
        <v>5</v>
      </c>
      <c r="D57" s="4">
        <v>180</v>
      </c>
    </row>
    <row r="58" spans="1:4" x14ac:dyDescent="0.25">
      <c r="A58" s="50">
        <v>46072.173611111109</v>
      </c>
      <c r="B58" s="4">
        <v>2</v>
      </c>
      <c r="C58" s="13">
        <f t="shared" si="0"/>
        <v>10.166666665463708</v>
      </c>
      <c r="D58" s="4">
        <v>365.9999999566935</v>
      </c>
    </row>
    <row r="59" spans="1:4" x14ac:dyDescent="0.25">
      <c r="A59" s="50">
        <v>46072.256944444445</v>
      </c>
      <c r="B59" s="4">
        <v>2</v>
      </c>
      <c r="C59" s="13">
        <f t="shared" si="0"/>
        <v>9.8333333341870457</v>
      </c>
      <c r="D59" s="4">
        <v>354.00000003073364</v>
      </c>
    </row>
    <row r="60" spans="1:4" x14ac:dyDescent="0.25">
      <c r="A60" s="50">
        <v>46072.423611111109</v>
      </c>
      <c r="B60" s="4">
        <v>1</v>
      </c>
      <c r="C60" s="13">
        <f t="shared" si="0"/>
        <v>1.0833333343616687</v>
      </c>
      <c r="D60" s="4">
        <v>39.000000037020072</v>
      </c>
    </row>
    <row r="61" spans="1:4" x14ac:dyDescent="0.25">
      <c r="A61" s="50">
        <v>46076.180555555555</v>
      </c>
      <c r="B61" s="4">
        <v>4</v>
      </c>
      <c r="C61" s="13">
        <f t="shared" si="0"/>
        <v>18.999999996740371</v>
      </c>
      <c r="D61" s="4">
        <v>683.99999988265336</v>
      </c>
    </row>
    <row r="62" spans="1:4" x14ac:dyDescent="0.25">
      <c r="A62" s="50">
        <v>46076.263888888891</v>
      </c>
      <c r="B62" s="4">
        <v>5</v>
      </c>
      <c r="C62" s="13">
        <f t="shared" si="0"/>
        <v>19.250000001338776</v>
      </c>
      <c r="D62" s="4">
        <v>693.00000004819594</v>
      </c>
    </row>
    <row r="63" spans="1:4" x14ac:dyDescent="0.25">
      <c r="A63" s="11" t="s">
        <v>553</v>
      </c>
      <c r="B63" s="5">
        <v>17</v>
      </c>
      <c r="C63" s="26">
        <f t="shared" si="0"/>
        <v>68.416666666666686</v>
      </c>
      <c r="D63" s="5">
        <v>2463.0000000000005</v>
      </c>
    </row>
    <row r="64" spans="1:4" x14ac:dyDescent="0.25">
      <c r="A64" s="50">
        <v>46069.277777777781</v>
      </c>
      <c r="B64" s="4">
        <v>9</v>
      </c>
      <c r="C64" s="13">
        <f t="shared" si="0"/>
        <v>43.083333333333343</v>
      </c>
      <c r="D64" s="4">
        <v>1551.0000000000002</v>
      </c>
    </row>
    <row r="65" spans="1:4" x14ac:dyDescent="0.25">
      <c r="A65" s="50">
        <v>46076.416666666664</v>
      </c>
      <c r="B65" s="4">
        <v>8</v>
      </c>
      <c r="C65" s="13">
        <f t="shared" si="0"/>
        <v>25.333333333333343</v>
      </c>
      <c r="D65" s="4">
        <v>912.00000000000034</v>
      </c>
    </row>
    <row r="66" spans="1:4" x14ac:dyDescent="0.25">
      <c r="A66" s="11" t="s">
        <v>474</v>
      </c>
      <c r="B66" s="5">
        <v>256</v>
      </c>
      <c r="C66" s="26">
        <f t="shared" si="0"/>
        <v>1077.00000003215</v>
      </c>
      <c r="D66" s="5">
        <v>38772.000001157401</v>
      </c>
    </row>
    <row r="67" spans="1:4" x14ac:dyDescent="0.25">
      <c r="A67" s="50">
        <v>46055.208333333336</v>
      </c>
      <c r="B67" s="4">
        <v>11</v>
      </c>
      <c r="C67" s="13">
        <f t="shared" ref="C67:C121" si="1">D67/36</f>
        <v>46.75</v>
      </c>
      <c r="D67" s="4">
        <v>1683</v>
      </c>
    </row>
    <row r="68" spans="1:4" x14ac:dyDescent="0.25">
      <c r="A68" s="50">
        <v>46055.291666666664</v>
      </c>
      <c r="B68" s="4">
        <v>4</v>
      </c>
      <c r="C68" s="13">
        <f t="shared" si="1"/>
        <v>16.333333327667788</v>
      </c>
      <c r="D68" s="4">
        <v>587.99999979604036</v>
      </c>
    </row>
    <row r="69" spans="1:4" x14ac:dyDescent="0.25">
      <c r="A69" s="50">
        <v>46056.28125</v>
      </c>
      <c r="B69" s="4">
        <v>16</v>
      </c>
      <c r="C69" s="13">
        <f t="shared" si="1"/>
        <v>39.49999999004649</v>
      </c>
      <c r="D69" s="4">
        <v>1421.9999996416736</v>
      </c>
    </row>
    <row r="70" spans="1:4" x14ac:dyDescent="0.25">
      <c r="A70" s="50">
        <v>46057.194444444445</v>
      </c>
      <c r="B70" s="4">
        <v>11</v>
      </c>
      <c r="C70" s="13">
        <f t="shared" si="1"/>
        <v>50.416666669014376</v>
      </c>
      <c r="D70" s="4">
        <v>1815.0000000845175</v>
      </c>
    </row>
    <row r="71" spans="1:4" x14ac:dyDescent="0.25">
      <c r="A71" s="50">
        <v>46057.277777777781</v>
      </c>
      <c r="B71" s="4">
        <v>6</v>
      </c>
      <c r="C71" s="13">
        <f t="shared" si="1"/>
        <v>25.666666660050396</v>
      </c>
      <c r="D71" s="4">
        <v>923.99999976181425</v>
      </c>
    </row>
    <row r="72" spans="1:4" x14ac:dyDescent="0.25">
      <c r="A72" s="50">
        <v>46057.416666666664</v>
      </c>
      <c r="B72" s="4">
        <v>1</v>
      </c>
      <c r="C72" s="13">
        <f t="shared" si="1"/>
        <v>1.25</v>
      </c>
      <c r="D72" s="4">
        <v>45</v>
      </c>
    </row>
    <row r="73" spans="1:4" x14ac:dyDescent="0.25">
      <c r="A73" s="50">
        <v>46058.277777777781</v>
      </c>
      <c r="B73" s="4">
        <v>18</v>
      </c>
      <c r="C73" s="13">
        <f t="shared" si="1"/>
        <v>81.916666653763968</v>
      </c>
      <c r="D73" s="4">
        <v>2948.9999995355029</v>
      </c>
    </row>
    <row r="74" spans="1:4" x14ac:dyDescent="0.25">
      <c r="A74" s="50">
        <v>46062.194444444445</v>
      </c>
      <c r="B74" s="4">
        <v>3</v>
      </c>
      <c r="C74" s="13">
        <f t="shared" si="1"/>
        <v>13.750000000640284</v>
      </c>
      <c r="D74" s="4">
        <v>495.00000002305023</v>
      </c>
    </row>
    <row r="75" spans="1:4" x14ac:dyDescent="0.25">
      <c r="A75" s="50">
        <v>46062.277777777781</v>
      </c>
      <c r="B75" s="4">
        <v>12</v>
      </c>
      <c r="C75" s="13">
        <f t="shared" si="1"/>
        <v>54.166666662145872</v>
      </c>
      <c r="D75" s="4">
        <v>1949.9999998372514</v>
      </c>
    </row>
    <row r="76" spans="1:4" x14ac:dyDescent="0.25">
      <c r="A76" s="50">
        <v>46063.194444444445</v>
      </c>
      <c r="B76" s="4">
        <v>6</v>
      </c>
      <c r="C76" s="13">
        <f t="shared" si="1"/>
        <v>27.500000001280569</v>
      </c>
      <c r="D76" s="4">
        <v>990.00000004610047</v>
      </c>
    </row>
    <row r="77" spans="1:4" x14ac:dyDescent="0.25">
      <c r="A77" s="50">
        <v>46063.277777777781</v>
      </c>
      <c r="B77" s="4">
        <v>7</v>
      </c>
      <c r="C77" s="13">
        <f t="shared" si="1"/>
        <v>30.74999999278225</v>
      </c>
      <c r="D77" s="4">
        <v>1106.999999740161</v>
      </c>
    </row>
    <row r="78" spans="1:4" x14ac:dyDescent="0.25">
      <c r="A78" s="50">
        <v>46063.284722222219</v>
      </c>
      <c r="B78" s="4">
        <v>7</v>
      </c>
      <c r="C78" s="13">
        <f t="shared" si="1"/>
        <v>30.916666676581372</v>
      </c>
      <c r="D78" s="4">
        <v>1113.0000003569294</v>
      </c>
    </row>
    <row r="79" spans="1:4" x14ac:dyDescent="0.25">
      <c r="A79" s="50">
        <v>46064.177083333336</v>
      </c>
      <c r="B79" s="4">
        <v>16</v>
      </c>
      <c r="C79" s="13">
        <f t="shared" si="1"/>
        <v>76.000000026077032</v>
      </c>
      <c r="D79" s="4">
        <v>2736.0000009387732</v>
      </c>
    </row>
    <row r="80" spans="1:4" x14ac:dyDescent="0.25">
      <c r="A80" s="50">
        <v>46064.260416666664</v>
      </c>
      <c r="B80" s="4">
        <v>6</v>
      </c>
      <c r="C80" s="13">
        <f t="shared" si="1"/>
        <v>27.500000001280569</v>
      </c>
      <c r="D80" s="4">
        <v>990.00000004610047</v>
      </c>
    </row>
    <row r="81" spans="1:4" x14ac:dyDescent="0.25">
      <c r="A81" s="50">
        <v>46064.427083333336</v>
      </c>
      <c r="B81" s="4">
        <v>1</v>
      </c>
      <c r="C81" s="13">
        <f t="shared" si="1"/>
        <v>0.75000000081490725</v>
      </c>
      <c r="D81" s="4">
        <v>27.000000029336661</v>
      </c>
    </row>
    <row r="82" spans="1:4" x14ac:dyDescent="0.25">
      <c r="A82" s="50">
        <v>46065.201388888891</v>
      </c>
      <c r="B82" s="4">
        <v>7</v>
      </c>
      <c r="C82" s="13">
        <f t="shared" si="1"/>
        <v>30.916666659468319</v>
      </c>
      <c r="D82" s="4">
        <v>1112.9999997408595</v>
      </c>
    </row>
    <row r="83" spans="1:4" x14ac:dyDescent="0.25">
      <c r="A83" s="50">
        <v>46065.284722222219</v>
      </c>
      <c r="B83" s="4">
        <v>2</v>
      </c>
      <c r="C83" s="13">
        <f t="shared" si="1"/>
        <v>8.5</v>
      </c>
      <c r="D83" s="4">
        <v>306</v>
      </c>
    </row>
    <row r="84" spans="1:4" x14ac:dyDescent="0.25">
      <c r="A84" s="50">
        <v>46068.1875</v>
      </c>
      <c r="B84" s="4">
        <v>4</v>
      </c>
      <c r="C84" s="13">
        <f t="shared" si="1"/>
        <v>18.000000003259629</v>
      </c>
      <c r="D84" s="4">
        <v>648.00000011734664</v>
      </c>
    </row>
    <row r="85" spans="1:4" x14ac:dyDescent="0.25">
      <c r="A85" s="50">
        <v>46068.270833333336</v>
      </c>
      <c r="B85" s="4">
        <v>8</v>
      </c>
      <c r="C85" s="13">
        <f t="shared" si="1"/>
        <v>30.333333347225562</v>
      </c>
      <c r="D85" s="4">
        <v>1092.0000005001202</v>
      </c>
    </row>
    <row r="86" spans="1:4" x14ac:dyDescent="0.25">
      <c r="A86" s="50">
        <v>46069.194444444445</v>
      </c>
      <c r="B86" s="4">
        <v>2</v>
      </c>
      <c r="C86" s="13">
        <f t="shared" si="1"/>
        <v>9.1666666670935228</v>
      </c>
      <c r="D86" s="4">
        <v>330.00000001536682</v>
      </c>
    </row>
    <row r="87" spans="1:4" x14ac:dyDescent="0.25">
      <c r="A87" s="50">
        <v>46069.277777777781</v>
      </c>
      <c r="B87" s="4">
        <v>10</v>
      </c>
      <c r="C87" s="13">
        <f t="shared" si="1"/>
        <v>45.166666663135402</v>
      </c>
      <c r="D87" s="4">
        <v>1625.9999998728745</v>
      </c>
    </row>
    <row r="88" spans="1:4" x14ac:dyDescent="0.25">
      <c r="A88" s="50">
        <v>46070.270833333336</v>
      </c>
      <c r="B88" s="4">
        <v>9</v>
      </c>
      <c r="C88" s="13">
        <f t="shared" si="1"/>
        <v>38.250000009604264</v>
      </c>
      <c r="D88" s="4">
        <v>1377.0000003457535</v>
      </c>
    </row>
    <row r="89" spans="1:4" x14ac:dyDescent="0.25">
      <c r="A89" s="50">
        <v>46071.270833333336</v>
      </c>
      <c r="B89" s="4">
        <v>11</v>
      </c>
      <c r="C89" s="13">
        <f t="shared" si="1"/>
        <v>51.000000000000007</v>
      </c>
      <c r="D89" s="4">
        <v>1836.0000000000002</v>
      </c>
    </row>
    <row r="90" spans="1:4" x14ac:dyDescent="0.25">
      <c r="A90" s="50">
        <v>46072.423611111109</v>
      </c>
      <c r="B90" s="4">
        <v>13</v>
      </c>
      <c r="C90" s="13">
        <f t="shared" si="1"/>
        <v>57.833333333333343</v>
      </c>
      <c r="D90" s="4">
        <v>2082.0000000000005</v>
      </c>
    </row>
    <row r="91" spans="1:4" x14ac:dyDescent="0.25">
      <c r="A91" s="50">
        <v>46076.190972222219</v>
      </c>
      <c r="B91" s="4">
        <v>8</v>
      </c>
      <c r="C91" s="13">
        <f t="shared" si="1"/>
        <v>35.333333344664425</v>
      </c>
      <c r="D91" s="4">
        <v>1272.0000004079193</v>
      </c>
    </row>
    <row r="92" spans="1:4" x14ac:dyDescent="0.25">
      <c r="A92" s="50">
        <v>46076.274305555555</v>
      </c>
      <c r="B92" s="4">
        <v>6</v>
      </c>
      <c r="C92" s="13">
        <f t="shared" si="1"/>
        <v>24.999999998370185</v>
      </c>
      <c r="D92" s="4">
        <v>899.99999994132668</v>
      </c>
    </row>
    <row r="93" spans="1:4" x14ac:dyDescent="0.25">
      <c r="A93" s="50">
        <v>46077.1875</v>
      </c>
      <c r="B93" s="4">
        <v>17</v>
      </c>
      <c r="C93" s="13">
        <f t="shared" si="1"/>
        <v>80.749999986146577</v>
      </c>
      <c r="D93" s="4">
        <v>2906.9999995012768</v>
      </c>
    </row>
    <row r="94" spans="1:4" x14ac:dyDescent="0.25">
      <c r="A94" s="50">
        <v>46078.270833333336</v>
      </c>
      <c r="B94" s="4">
        <v>7</v>
      </c>
      <c r="C94" s="13">
        <f t="shared" si="1"/>
        <v>33.250000011408702</v>
      </c>
      <c r="D94" s="4">
        <v>1197.0000004107133</v>
      </c>
    </row>
    <row r="95" spans="1:4" x14ac:dyDescent="0.25">
      <c r="A95" s="50">
        <v>46078.368055555555</v>
      </c>
      <c r="B95" s="4">
        <v>8</v>
      </c>
      <c r="C95" s="13">
        <f t="shared" si="1"/>
        <v>19.083333330811001</v>
      </c>
      <c r="D95" s="4">
        <v>686.99999990919605</v>
      </c>
    </row>
    <row r="96" spans="1:4" x14ac:dyDescent="0.25">
      <c r="A96" s="50">
        <v>46079.3125</v>
      </c>
      <c r="B96" s="4">
        <v>19</v>
      </c>
      <c r="C96" s="13">
        <f t="shared" si="1"/>
        <v>71.250000015483238</v>
      </c>
      <c r="D96" s="4">
        <v>2565.0000005573966</v>
      </c>
    </row>
    <row r="97" spans="1:4" x14ac:dyDescent="0.25">
      <c r="A97" s="11" t="s">
        <v>524</v>
      </c>
      <c r="B97" s="5">
        <v>40</v>
      </c>
      <c r="C97" s="26">
        <f t="shared" si="1"/>
        <v>169.00000000355067</v>
      </c>
      <c r="D97" s="5">
        <v>6084.000000127824</v>
      </c>
    </row>
    <row r="98" spans="1:4" x14ac:dyDescent="0.25">
      <c r="A98" s="50">
        <v>46069.270833333336</v>
      </c>
      <c r="B98" s="4">
        <v>7</v>
      </c>
      <c r="C98" s="13">
        <f t="shared" si="1"/>
        <v>31.333333340066019</v>
      </c>
      <c r="D98" s="4">
        <v>1128.0000002423767</v>
      </c>
    </row>
    <row r="99" spans="1:4" x14ac:dyDescent="0.25">
      <c r="A99" s="50">
        <v>46069.277777777781</v>
      </c>
      <c r="B99" s="4">
        <v>1</v>
      </c>
      <c r="C99" s="13">
        <f t="shared" si="1"/>
        <v>1.7499999991850927</v>
      </c>
      <c r="D99" s="4">
        <v>62.999999970663339</v>
      </c>
    </row>
    <row r="100" spans="1:4" x14ac:dyDescent="0.25">
      <c r="A100" s="50">
        <v>46069.395833333336</v>
      </c>
      <c r="B100" s="4">
        <v>1</v>
      </c>
      <c r="C100" s="13">
        <f t="shared" si="1"/>
        <v>1.5000000008149073</v>
      </c>
      <c r="D100" s="4">
        <v>54.000000029336661</v>
      </c>
    </row>
    <row r="101" spans="1:4" x14ac:dyDescent="0.25">
      <c r="A101" s="50">
        <v>46070.201388888891</v>
      </c>
      <c r="B101" s="4">
        <v>6</v>
      </c>
      <c r="C101" s="13">
        <f t="shared" si="1"/>
        <v>25.5</v>
      </c>
      <c r="D101" s="4">
        <v>918</v>
      </c>
    </row>
    <row r="102" spans="1:4" x14ac:dyDescent="0.25">
      <c r="A102" s="50">
        <v>46070.284722222219</v>
      </c>
      <c r="B102" s="4">
        <v>2</v>
      </c>
      <c r="C102" s="13">
        <f t="shared" si="1"/>
        <v>8.000000003259629</v>
      </c>
      <c r="D102" s="4">
        <v>288.00000011734664</v>
      </c>
    </row>
    <row r="103" spans="1:4" x14ac:dyDescent="0.25">
      <c r="A103" s="50">
        <v>46071.260416666664</v>
      </c>
      <c r="B103" s="4">
        <v>8</v>
      </c>
      <c r="C103" s="13">
        <f t="shared" si="1"/>
        <v>37.999999993480742</v>
      </c>
      <c r="D103" s="4">
        <v>1367.9999997653067</v>
      </c>
    </row>
    <row r="104" spans="1:4" x14ac:dyDescent="0.25">
      <c r="A104" s="50">
        <v>46076.277777777781</v>
      </c>
      <c r="B104" s="4">
        <v>8</v>
      </c>
      <c r="C104" s="13">
        <f t="shared" si="1"/>
        <v>34.666666661854833</v>
      </c>
      <c r="D104" s="4">
        <v>1247.999999826774</v>
      </c>
    </row>
    <row r="105" spans="1:4" x14ac:dyDescent="0.25">
      <c r="A105" s="50">
        <v>46078.1875</v>
      </c>
      <c r="B105" s="4">
        <v>5</v>
      </c>
      <c r="C105" s="13">
        <f t="shared" si="1"/>
        <v>22.500000004074536</v>
      </c>
      <c r="D105" s="4">
        <v>810.00000014668331</v>
      </c>
    </row>
    <row r="106" spans="1:4" x14ac:dyDescent="0.25">
      <c r="A106" s="50">
        <v>46078.270833333336</v>
      </c>
      <c r="B106" s="4">
        <v>1</v>
      </c>
      <c r="C106" s="13">
        <f t="shared" si="1"/>
        <v>4.25</v>
      </c>
      <c r="D106" s="4">
        <v>153</v>
      </c>
    </row>
    <row r="107" spans="1:4" x14ac:dyDescent="0.25">
      <c r="A107" s="50">
        <v>46078.395833333336</v>
      </c>
      <c r="B107" s="4">
        <v>1</v>
      </c>
      <c r="C107" s="13">
        <f t="shared" si="1"/>
        <v>1.5000000008149073</v>
      </c>
      <c r="D107" s="4">
        <v>54.000000029336661</v>
      </c>
    </row>
    <row r="108" spans="1:4" x14ac:dyDescent="0.25">
      <c r="A108" s="11" t="s">
        <v>525</v>
      </c>
      <c r="B108" s="5">
        <v>14</v>
      </c>
      <c r="C108" s="26">
        <f t="shared" si="1"/>
        <v>66.833333324233536</v>
      </c>
      <c r="D108" s="5">
        <v>2405.9999996724073</v>
      </c>
    </row>
    <row r="109" spans="1:4" x14ac:dyDescent="0.25">
      <c r="A109" s="50">
        <v>46069.260416666664</v>
      </c>
      <c r="B109" s="4">
        <v>8</v>
      </c>
      <c r="C109" s="13">
        <f t="shared" si="1"/>
        <v>37.499999996565748</v>
      </c>
      <c r="D109" s="4">
        <v>1349.9999998763669</v>
      </c>
    </row>
    <row r="110" spans="1:4" x14ac:dyDescent="0.25">
      <c r="A110" s="50">
        <v>46071.260416666664</v>
      </c>
      <c r="B110" s="4">
        <v>6</v>
      </c>
      <c r="C110" s="13">
        <f t="shared" si="1"/>
        <v>29.333333327667788</v>
      </c>
      <c r="D110" s="4">
        <v>1055.9999997960404</v>
      </c>
    </row>
    <row r="111" spans="1:4" x14ac:dyDescent="0.25">
      <c r="A111" s="11" t="s">
        <v>252</v>
      </c>
      <c r="B111" s="5">
        <v>24</v>
      </c>
      <c r="C111" s="26">
        <f t="shared" si="1"/>
        <v>113.6666666760575</v>
      </c>
      <c r="D111" s="5">
        <v>4092.0000003380701</v>
      </c>
    </row>
    <row r="112" spans="1:4" x14ac:dyDescent="0.25">
      <c r="A112" s="50">
        <v>46055.28125</v>
      </c>
      <c r="B112" s="4">
        <v>9</v>
      </c>
      <c r="C112" s="13">
        <f t="shared" si="1"/>
        <v>40.333333339251112</v>
      </c>
      <c r="D112" s="4">
        <v>1452.00000021304</v>
      </c>
    </row>
    <row r="113" spans="1:4" x14ac:dyDescent="0.25">
      <c r="A113" s="50">
        <v>46078.177083333336</v>
      </c>
      <c r="B113" s="4">
        <v>4</v>
      </c>
      <c r="C113" s="13">
        <f t="shared" si="1"/>
        <v>19.333333337446675</v>
      </c>
      <c r="D113" s="4">
        <v>696.00000014808029</v>
      </c>
    </row>
    <row r="114" spans="1:4" x14ac:dyDescent="0.25">
      <c r="A114" s="50">
        <v>46078.260416666664</v>
      </c>
      <c r="B114" s="4">
        <v>3</v>
      </c>
      <c r="C114" s="13">
        <f t="shared" si="1"/>
        <v>13.999999999359716</v>
      </c>
      <c r="D114" s="4">
        <v>503.99999997694977</v>
      </c>
    </row>
    <row r="115" spans="1:4" x14ac:dyDescent="0.25">
      <c r="A115" s="50">
        <v>46079.177083333336</v>
      </c>
      <c r="B115" s="4">
        <v>4</v>
      </c>
      <c r="C115" s="13">
        <f t="shared" si="1"/>
        <v>18.333333334187046</v>
      </c>
      <c r="D115" s="4">
        <v>660.00000003073364</v>
      </c>
    </row>
    <row r="116" spans="1:4" x14ac:dyDescent="0.25">
      <c r="A116" s="50">
        <v>46079.260416666664</v>
      </c>
      <c r="B116" s="4">
        <v>4</v>
      </c>
      <c r="C116" s="13">
        <f t="shared" si="1"/>
        <v>21.666666665812954</v>
      </c>
      <c r="D116" s="4">
        <v>779.99999996926636</v>
      </c>
    </row>
    <row r="117" spans="1:4" x14ac:dyDescent="0.25">
      <c r="A117" s="11" t="s">
        <v>307</v>
      </c>
      <c r="B117" s="5">
        <v>61</v>
      </c>
      <c r="C117" s="26">
        <f t="shared" si="1"/>
        <v>242.4999999681022</v>
      </c>
      <c r="D117" s="5">
        <v>8729.9999988516793</v>
      </c>
    </row>
    <row r="118" spans="1:4" x14ac:dyDescent="0.25">
      <c r="A118" s="50">
        <v>46062.270833333336</v>
      </c>
      <c r="B118" s="4">
        <v>9</v>
      </c>
      <c r="C118" s="13">
        <f t="shared" si="1"/>
        <v>40.000000010419171</v>
      </c>
      <c r="D118" s="4">
        <v>1440.0000003750902</v>
      </c>
    </row>
    <row r="119" spans="1:4" x14ac:dyDescent="0.25">
      <c r="A119" s="50">
        <v>46063.180555555555</v>
      </c>
      <c r="B119" s="4">
        <v>8</v>
      </c>
      <c r="C119" s="13">
        <f t="shared" si="1"/>
        <v>36.666666650213301</v>
      </c>
      <c r="D119" s="4">
        <v>1319.9999994076788</v>
      </c>
    </row>
    <row r="120" spans="1:4" x14ac:dyDescent="0.25">
      <c r="A120" s="50">
        <v>46064.25</v>
      </c>
      <c r="B120" s="4">
        <v>13</v>
      </c>
      <c r="C120" s="13">
        <f t="shared" si="1"/>
        <v>65.083333332731854</v>
      </c>
      <c r="D120" s="4">
        <v>2342.9999999783468</v>
      </c>
    </row>
    <row r="121" spans="1:4" x14ac:dyDescent="0.25">
      <c r="A121" s="50">
        <v>46065.229166666664</v>
      </c>
      <c r="B121" s="4">
        <v>31</v>
      </c>
      <c r="C121" s="13">
        <f t="shared" si="1"/>
        <v>100.74999997473788</v>
      </c>
      <c r="D121" s="4">
        <v>3626.9999990905635</v>
      </c>
    </row>
    <row r="122" spans="1:4" x14ac:dyDescent="0.25">
      <c r="A122" s="44" t="s">
        <v>523</v>
      </c>
      <c r="B122" s="45">
        <v>842</v>
      </c>
      <c r="C122" s="45"/>
      <c r="D122" s="45">
        <v>132819.00000066147</v>
      </c>
    </row>
  </sheetData>
  <pageMargins left="0.25" right="0.25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8A3D-BD26-4075-A78C-DC646CB14DAB}">
  <dimension ref="A1:XFA71"/>
  <sheetViews>
    <sheetView rightToLeft="1" workbookViewId="0">
      <selection activeCell="A2" sqref="A1:XFD2"/>
    </sheetView>
  </sheetViews>
  <sheetFormatPr defaultRowHeight="13.8" x14ac:dyDescent="0.25"/>
  <cols>
    <col min="1" max="1" width="19.3984375" style="2" customWidth="1"/>
    <col min="2" max="3" width="11.3984375" customWidth="1"/>
    <col min="4" max="4" width="12.296875" customWidth="1"/>
    <col min="5" max="5" width="8.69921875" style="2"/>
    <col min="9" max="9" width="8.69921875" style="2"/>
    <col min="13" max="13" width="8.69921875" style="2"/>
    <col min="17" max="17" width="8.69921875" style="2"/>
    <col min="21" max="21" width="8.69921875" style="2"/>
    <col min="25" max="25" width="8.69921875" style="2"/>
    <col min="29" max="29" width="8.69921875" style="2"/>
    <col min="33" max="33" width="8.69921875" style="2"/>
    <col min="37" max="37" width="8.69921875" style="2"/>
    <col min="41" max="41" width="8.69921875" style="2"/>
    <col min="45" max="45" width="8.69921875" style="2"/>
    <col min="49" max="49" width="8.69921875" style="2"/>
    <col min="53" max="53" width="8.69921875" style="2"/>
    <col min="57" max="57" width="8.69921875" style="2"/>
    <col min="61" max="61" width="8.69921875" style="2"/>
    <col min="65" max="65" width="8.69921875" style="2"/>
    <col min="69" max="69" width="8.69921875" style="2"/>
    <col min="73" max="73" width="8.69921875" style="2"/>
    <col min="77" max="77" width="8.69921875" style="2"/>
    <col min="81" max="81" width="8.69921875" style="2"/>
    <col min="85" max="85" width="8.69921875" style="2"/>
    <col min="89" max="89" width="8.69921875" style="2"/>
    <col min="93" max="93" width="8.69921875" style="2"/>
    <col min="97" max="97" width="8.69921875" style="2"/>
    <col min="101" max="101" width="8.69921875" style="2"/>
    <col min="105" max="105" width="8.69921875" style="2"/>
    <col min="109" max="109" width="8.69921875" style="2"/>
    <col min="113" max="113" width="8.69921875" style="2"/>
    <col min="117" max="117" width="8.69921875" style="2"/>
    <col min="121" max="121" width="8.69921875" style="2"/>
    <col min="125" max="125" width="8.69921875" style="2"/>
    <col min="129" max="129" width="8.69921875" style="2"/>
    <col min="133" max="133" width="8.69921875" style="2"/>
    <col min="137" max="137" width="8.69921875" style="2"/>
    <col min="141" max="141" width="8.69921875" style="2"/>
    <col min="145" max="145" width="8.69921875" style="2"/>
    <col min="149" max="149" width="8.69921875" style="2"/>
    <col min="153" max="153" width="8.69921875" style="2"/>
    <col min="157" max="157" width="8.69921875" style="2"/>
    <col min="161" max="161" width="8.69921875" style="2"/>
    <col min="165" max="165" width="8.69921875" style="2"/>
    <col min="169" max="169" width="8.69921875" style="2"/>
    <col min="173" max="173" width="8.69921875" style="2"/>
    <col min="177" max="177" width="8.69921875" style="2"/>
    <col min="181" max="181" width="8.69921875" style="2"/>
    <col min="185" max="185" width="8.69921875" style="2"/>
    <col min="189" max="189" width="8.69921875" style="2"/>
    <col min="193" max="193" width="8.69921875" style="2"/>
    <col min="197" max="197" width="8.69921875" style="2"/>
    <col min="201" max="201" width="8.69921875" style="2"/>
    <col min="205" max="205" width="8.69921875" style="2"/>
    <col min="209" max="209" width="8.69921875" style="2"/>
    <col min="213" max="213" width="8.69921875" style="2"/>
    <col min="217" max="217" width="8.69921875" style="2"/>
    <col min="221" max="221" width="8.69921875" style="2"/>
    <col min="225" max="225" width="8.69921875" style="2"/>
    <col min="229" max="229" width="8.69921875" style="2"/>
    <col min="233" max="233" width="8.69921875" style="2"/>
    <col min="237" max="237" width="8.69921875" style="2"/>
    <col min="241" max="241" width="8.69921875" style="2"/>
    <col min="245" max="245" width="8.69921875" style="2"/>
    <col min="249" max="249" width="8.69921875" style="2"/>
    <col min="253" max="253" width="8.69921875" style="2"/>
    <col min="257" max="257" width="8.69921875" style="2"/>
    <col min="261" max="261" width="8.69921875" style="2"/>
    <col min="265" max="265" width="8.69921875" style="2"/>
    <col min="269" max="269" width="8.69921875" style="2"/>
    <col min="273" max="273" width="8.69921875" style="2"/>
    <col min="277" max="277" width="8.69921875" style="2"/>
    <col min="281" max="281" width="8.69921875" style="2"/>
    <col min="285" max="285" width="8.69921875" style="2"/>
    <col min="289" max="289" width="8.69921875" style="2"/>
    <col min="293" max="293" width="8.69921875" style="2"/>
    <col min="297" max="297" width="8.69921875" style="2"/>
    <col min="301" max="301" width="8.69921875" style="2"/>
    <col min="305" max="305" width="8.69921875" style="2"/>
    <col min="309" max="309" width="8.69921875" style="2"/>
    <col min="313" max="313" width="8.69921875" style="2"/>
    <col min="317" max="317" width="8.69921875" style="2"/>
    <col min="321" max="321" width="8.69921875" style="2"/>
    <col min="325" max="325" width="8.69921875" style="2"/>
    <col min="329" max="329" width="8.69921875" style="2"/>
    <col min="333" max="333" width="8.69921875" style="2"/>
    <col min="337" max="337" width="8.69921875" style="2"/>
    <col min="341" max="341" width="8.69921875" style="2"/>
    <col min="345" max="345" width="8.69921875" style="2"/>
    <col min="349" max="349" width="8.69921875" style="2"/>
    <col min="353" max="353" width="8.69921875" style="2"/>
    <col min="357" max="357" width="8.69921875" style="2"/>
    <col min="361" max="361" width="8.69921875" style="2"/>
    <col min="365" max="365" width="8.69921875" style="2"/>
    <col min="369" max="369" width="8.69921875" style="2"/>
    <col min="373" max="373" width="8.69921875" style="2"/>
    <col min="377" max="377" width="8.69921875" style="2"/>
    <col min="381" max="381" width="8.69921875" style="2"/>
    <col min="385" max="385" width="8.69921875" style="2"/>
    <col min="389" max="389" width="8.69921875" style="2"/>
    <col min="393" max="393" width="8.69921875" style="2"/>
    <col min="397" max="397" width="8.69921875" style="2"/>
    <col min="401" max="401" width="8.69921875" style="2"/>
    <col min="405" max="405" width="8.69921875" style="2"/>
    <col min="409" max="409" width="8.69921875" style="2"/>
    <col min="413" max="413" width="8.69921875" style="2"/>
    <col min="417" max="417" width="8.69921875" style="2"/>
    <col min="421" max="421" width="8.69921875" style="2"/>
    <col min="425" max="425" width="8.69921875" style="2"/>
    <col min="429" max="429" width="8.69921875" style="2"/>
    <col min="433" max="433" width="8.69921875" style="2"/>
    <col min="437" max="437" width="8.69921875" style="2"/>
    <col min="441" max="441" width="8.69921875" style="2"/>
    <col min="445" max="445" width="8.69921875" style="2"/>
    <col min="449" max="449" width="8.69921875" style="2"/>
    <col min="453" max="453" width="8.69921875" style="2"/>
    <col min="457" max="457" width="8.69921875" style="2"/>
    <col min="461" max="461" width="8.69921875" style="2"/>
    <col min="465" max="465" width="8.69921875" style="2"/>
    <col min="469" max="469" width="8.69921875" style="2"/>
    <col min="473" max="473" width="8.69921875" style="2"/>
    <col min="477" max="477" width="8.69921875" style="2"/>
    <col min="481" max="481" width="8.69921875" style="2"/>
    <col min="485" max="485" width="8.69921875" style="2"/>
    <col min="489" max="489" width="8.69921875" style="2"/>
    <col min="493" max="493" width="8.69921875" style="2"/>
    <col min="497" max="497" width="8.69921875" style="2"/>
    <col min="501" max="501" width="8.69921875" style="2"/>
    <col min="505" max="505" width="8.69921875" style="2"/>
    <col min="509" max="509" width="8.69921875" style="2"/>
    <col min="513" max="513" width="8.69921875" style="2"/>
    <col min="517" max="517" width="8.69921875" style="2"/>
    <col min="521" max="521" width="8.69921875" style="2"/>
    <col min="525" max="525" width="8.69921875" style="2"/>
    <col min="529" max="529" width="8.69921875" style="2"/>
    <col min="533" max="533" width="8.69921875" style="2"/>
    <col min="537" max="537" width="8.69921875" style="2"/>
    <col min="541" max="541" width="8.69921875" style="2"/>
    <col min="545" max="545" width="8.69921875" style="2"/>
    <col min="549" max="549" width="8.69921875" style="2"/>
    <col min="553" max="553" width="8.69921875" style="2"/>
    <col min="557" max="557" width="8.69921875" style="2"/>
    <col min="561" max="561" width="8.69921875" style="2"/>
    <col min="565" max="565" width="8.69921875" style="2"/>
    <col min="569" max="569" width="8.69921875" style="2"/>
    <col min="573" max="573" width="8.69921875" style="2"/>
    <col min="577" max="577" width="8.69921875" style="2"/>
    <col min="581" max="581" width="8.69921875" style="2"/>
    <col min="585" max="585" width="8.69921875" style="2"/>
    <col min="589" max="589" width="8.69921875" style="2"/>
    <col min="593" max="593" width="8.69921875" style="2"/>
    <col min="597" max="597" width="8.69921875" style="2"/>
    <col min="601" max="601" width="8.69921875" style="2"/>
    <col min="605" max="605" width="8.69921875" style="2"/>
    <col min="609" max="609" width="8.69921875" style="2"/>
    <col min="613" max="613" width="8.69921875" style="2"/>
    <col min="617" max="617" width="8.69921875" style="2"/>
    <col min="621" max="621" width="8.69921875" style="2"/>
    <col min="625" max="625" width="8.69921875" style="2"/>
    <col min="629" max="629" width="8.69921875" style="2"/>
    <col min="633" max="633" width="8.69921875" style="2"/>
    <col min="637" max="637" width="8.69921875" style="2"/>
    <col min="641" max="641" width="8.69921875" style="2"/>
    <col min="645" max="645" width="8.69921875" style="2"/>
    <col min="649" max="649" width="8.69921875" style="2"/>
    <col min="653" max="653" width="8.69921875" style="2"/>
    <col min="657" max="657" width="8.69921875" style="2"/>
    <col min="661" max="661" width="8.69921875" style="2"/>
    <col min="665" max="665" width="8.69921875" style="2"/>
    <col min="669" max="669" width="8.69921875" style="2"/>
    <col min="673" max="673" width="8.69921875" style="2"/>
    <col min="677" max="677" width="8.69921875" style="2"/>
    <col min="681" max="681" width="8.69921875" style="2"/>
    <col min="685" max="685" width="8.69921875" style="2"/>
    <col min="689" max="689" width="8.69921875" style="2"/>
    <col min="693" max="693" width="8.69921875" style="2"/>
    <col min="697" max="697" width="8.69921875" style="2"/>
    <col min="701" max="701" width="8.69921875" style="2"/>
    <col min="705" max="705" width="8.69921875" style="2"/>
    <col min="709" max="709" width="8.69921875" style="2"/>
    <col min="713" max="713" width="8.69921875" style="2"/>
    <col min="717" max="717" width="8.69921875" style="2"/>
    <col min="721" max="721" width="8.69921875" style="2"/>
    <col min="725" max="725" width="8.69921875" style="2"/>
    <col min="729" max="729" width="8.69921875" style="2"/>
    <col min="733" max="733" width="8.69921875" style="2"/>
    <col min="737" max="737" width="8.69921875" style="2"/>
    <col min="741" max="741" width="8.69921875" style="2"/>
    <col min="745" max="745" width="8.69921875" style="2"/>
    <col min="749" max="749" width="8.69921875" style="2"/>
    <col min="753" max="753" width="8.69921875" style="2"/>
    <col min="757" max="757" width="8.69921875" style="2"/>
    <col min="761" max="761" width="8.69921875" style="2"/>
    <col min="765" max="765" width="8.69921875" style="2"/>
    <col min="769" max="769" width="8.69921875" style="2"/>
    <col min="773" max="773" width="8.69921875" style="2"/>
    <col min="777" max="777" width="8.69921875" style="2"/>
    <col min="781" max="781" width="8.69921875" style="2"/>
    <col min="785" max="785" width="8.69921875" style="2"/>
    <col min="789" max="789" width="8.69921875" style="2"/>
    <col min="793" max="793" width="8.69921875" style="2"/>
    <col min="797" max="797" width="8.69921875" style="2"/>
    <col min="801" max="801" width="8.69921875" style="2"/>
    <col min="805" max="805" width="8.69921875" style="2"/>
    <col min="809" max="809" width="8.69921875" style="2"/>
    <col min="813" max="813" width="8.69921875" style="2"/>
    <col min="817" max="817" width="8.69921875" style="2"/>
    <col min="821" max="821" width="8.69921875" style="2"/>
    <col min="825" max="825" width="8.69921875" style="2"/>
    <col min="829" max="829" width="8.69921875" style="2"/>
    <col min="833" max="833" width="8.69921875" style="2"/>
    <col min="837" max="837" width="8.69921875" style="2"/>
    <col min="841" max="841" width="8.69921875" style="2"/>
    <col min="845" max="845" width="8.69921875" style="2"/>
    <col min="849" max="849" width="8.69921875" style="2"/>
    <col min="853" max="853" width="8.69921875" style="2"/>
    <col min="857" max="857" width="8.69921875" style="2"/>
    <col min="861" max="861" width="8.69921875" style="2"/>
    <col min="865" max="865" width="8.69921875" style="2"/>
    <col min="869" max="869" width="8.69921875" style="2"/>
    <col min="873" max="873" width="8.69921875" style="2"/>
    <col min="877" max="877" width="8.69921875" style="2"/>
    <col min="881" max="881" width="8.69921875" style="2"/>
    <col min="885" max="885" width="8.69921875" style="2"/>
    <col min="889" max="889" width="8.69921875" style="2"/>
    <col min="893" max="893" width="8.69921875" style="2"/>
    <col min="897" max="897" width="8.69921875" style="2"/>
    <col min="901" max="901" width="8.69921875" style="2"/>
    <col min="905" max="905" width="8.69921875" style="2"/>
    <col min="909" max="909" width="8.69921875" style="2"/>
    <col min="913" max="913" width="8.69921875" style="2"/>
    <col min="917" max="917" width="8.69921875" style="2"/>
    <col min="921" max="921" width="8.69921875" style="2"/>
    <col min="925" max="925" width="8.69921875" style="2"/>
    <col min="929" max="929" width="8.69921875" style="2"/>
    <col min="933" max="933" width="8.69921875" style="2"/>
    <col min="937" max="937" width="8.69921875" style="2"/>
    <col min="941" max="941" width="8.69921875" style="2"/>
    <col min="945" max="945" width="8.69921875" style="2"/>
    <col min="949" max="949" width="8.69921875" style="2"/>
    <col min="953" max="953" width="8.69921875" style="2"/>
    <col min="957" max="957" width="8.69921875" style="2"/>
    <col min="961" max="961" width="8.69921875" style="2"/>
    <col min="965" max="965" width="8.69921875" style="2"/>
    <col min="969" max="969" width="8.69921875" style="2"/>
    <col min="973" max="973" width="8.69921875" style="2"/>
    <col min="977" max="977" width="8.69921875" style="2"/>
    <col min="981" max="981" width="8.69921875" style="2"/>
    <col min="985" max="985" width="8.69921875" style="2"/>
    <col min="989" max="989" width="8.69921875" style="2"/>
    <col min="993" max="993" width="8.69921875" style="2"/>
    <col min="997" max="997" width="8.69921875" style="2"/>
    <col min="1001" max="1001" width="8.69921875" style="2"/>
    <col min="1005" max="1005" width="8.69921875" style="2"/>
    <col min="1009" max="1009" width="8.69921875" style="2"/>
    <col min="1013" max="1013" width="8.69921875" style="2"/>
    <col min="1017" max="1017" width="8.69921875" style="2"/>
    <col min="1021" max="1021" width="8.69921875" style="2"/>
    <col min="1025" max="1025" width="8.69921875" style="2"/>
    <col min="1029" max="1029" width="8.69921875" style="2"/>
    <col min="1033" max="1033" width="8.69921875" style="2"/>
    <col min="1037" max="1037" width="8.69921875" style="2"/>
    <col min="1041" max="1041" width="8.69921875" style="2"/>
    <col min="1045" max="1045" width="8.69921875" style="2"/>
    <col min="1049" max="1049" width="8.69921875" style="2"/>
    <col min="1053" max="1053" width="8.69921875" style="2"/>
    <col min="1057" max="1057" width="8.69921875" style="2"/>
    <col min="1061" max="1061" width="8.69921875" style="2"/>
    <col min="1065" max="1065" width="8.69921875" style="2"/>
    <col min="1069" max="1069" width="8.69921875" style="2"/>
    <col min="1073" max="1073" width="8.69921875" style="2"/>
    <col min="1077" max="1077" width="8.69921875" style="2"/>
    <col min="1081" max="1081" width="8.69921875" style="2"/>
    <col min="1085" max="1085" width="8.69921875" style="2"/>
    <col min="1089" max="1089" width="8.69921875" style="2"/>
    <col min="1093" max="1093" width="8.69921875" style="2"/>
    <col min="1097" max="1097" width="8.69921875" style="2"/>
    <col min="1101" max="1101" width="8.69921875" style="2"/>
    <col min="1105" max="1105" width="8.69921875" style="2"/>
    <col min="1109" max="1109" width="8.69921875" style="2"/>
    <col min="1113" max="1113" width="8.69921875" style="2"/>
    <col min="1117" max="1117" width="8.69921875" style="2"/>
    <col min="1121" max="1121" width="8.69921875" style="2"/>
    <col min="1125" max="1125" width="8.69921875" style="2"/>
    <col min="1129" max="1129" width="8.69921875" style="2"/>
    <col min="1133" max="1133" width="8.69921875" style="2"/>
    <col min="1137" max="1137" width="8.69921875" style="2"/>
    <col min="1141" max="1141" width="8.69921875" style="2"/>
    <col min="1145" max="1145" width="8.69921875" style="2"/>
    <col min="1149" max="1149" width="8.69921875" style="2"/>
    <col min="1153" max="1153" width="8.69921875" style="2"/>
    <col min="1157" max="1157" width="8.69921875" style="2"/>
    <col min="1161" max="1161" width="8.69921875" style="2"/>
    <col min="1165" max="1165" width="8.69921875" style="2"/>
    <col min="1169" max="1169" width="8.69921875" style="2"/>
    <col min="1173" max="1173" width="8.69921875" style="2"/>
    <col min="1177" max="1177" width="8.69921875" style="2"/>
    <col min="1181" max="1181" width="8.69921875" style="2"/>
    <col min="1185" max="1185" width="8.69921875" style="2"/>
    <col min="1189" max="1189" width="8.69921875" style="2"/>
    <col min="1193" max="1193" width="8.69921875" style="2"/>
    <col min="1197" max="1197" width="8.69921875" style="2"/>
    <col min="1201" max="1201" width="8.69921875" style="2"/>
    <col min="1205" max="1205" width="8.69921875" style="2"/>
    <col min="1209" max="1209" width="8.69921875" style="2"/>
    <col min="1213" max="1213" width="8.69921875" style="2"/>
    <col min="1217" max="1217" width="8.69921875" style="2"/>
    <col min="1221" max="1221" width="8.69921875" style="2"/>
    <col min="1225" max="1225" width="8.69921875" style="2"/>
    <col min="1229" max="1229" width="8.69921875" style="2"/>
    <col min="1233" max="1233" width="8.69921875" style="2"/>
    <col min="1237" max="1237" width="8.69921875" style="2"/>
    <col min="1241" max="1241" width="8.69921875" style="2"/>
    <col min="1245" max="1245" width="8.69921875" style="2"/>
    <col min="1249" max="1249" width="8.69921875" style="2"/>
    <col min="1253" max="1253" width="8.69921875" style="2"/>
    <col min="1257" max="1257" width="8.69921875" style="2"/>
    <col min="1261" max="1261" width="8.69921875" style="2"/>
    <col min="1265" max="1265" width="8.69921875" style="2"/>
    <col min="1269" max="1269" width="8.69921875" style="2"/>
    <col min="1273" max="1273" width="8.69921875" style="2"/>
    <col min="1277" max="1277" width="8.69921875" style="2"/>
    <col min="1281" max="1281" width="8.69921875" style="2"/>
    <col min="1285" max="1285" width="8.69921875" style="2"/>
    <col min="1289" max="1289" width="8.69921875" style="2"/>
    <col min="1293" max="1293" width="8.69921875" style="2"/>
    <col min="1297" max="1297" width="8.69921875" style="2"/>
    <col min="1301" max="1301" width="8.69921875" style="2"/>
    <col min="1305" max="1305" width="8.69921875" style="2"/>
    <col min="1309" max="1309" width="8.69921875" style="2"/>
    <col min="1313" max="1313" width="8.69921875" style="2"/>
    <col min="1317" max="1317" width="8.69921875" style="2"/>
    <col min="1321" max="1321" width="8.69921875" style="2"/>
    <col min="1325" max="1325" width="8.69921875" style="2"/>
    <col min="1329" max="1329" width="8.69921875" style="2"/>
    <col min="1333" max="1333" width="8.69921875" style="2"/>
    <col min="1337" max="1337" width="8.69921875" style="2"/>
    <col min="1341" max="1341" width="8.69921875" style="2"/>
    <col min="1345" max="1345" width="8.69921875" style="2"/>
    <col min="1349" max="1349" width="8.69921875" style="2"/>
    <col min="1353" max="1353" width="8.69921875" style="2"/>
    <col min="1357" max="1357" width="8.69921875" style="2"/>
    <col min="1361" max="1361" width="8.69921875" style="2"/>
    <col min="1365" max="1365" width="8.69921875" style="2"/>
    <col min="1369" max="1369" width="8.69921875" style="2"/>
    <col min="1373" max="1373" width="8.69921875" style="2"/>
    <col min="1377" max="1377" width="8.69921875" style="2"/>
    <col min="1381" max="1381" width="8.69921875" style="2"/>
    <col min="1385" max="1385" width="8.69921875" style="2"/>
    <col min="1389" max="1389" width="8.69921875" style="2"/>
    <col min="1393" max="1393" width="8.69921875" style="2"/>
    <col min="1397" max="1397" width="8.69921875" style="2"/>
    <col min="1401" max="1401" width="8.69921875" style="2"/>
    <col min="1405" max="1405" width="8.69921875" style="2"/>
    <col min="1409" max="1409" width="8.69921875" style="2"/>
    <col min="1413" max="1413" width="8.69921875" style="2"/>
    <col min="1417" max="1417" width="8.69921875" style="2"/>
    <col min="1421" max="1421" width="8.69921875" style="2"/>
    <col min="1425" max="1425" width="8.69921875" style="2"/>
    <col min="1429" max="1429" width="8.69921875" style="2"/>
    <col min="1433" max="1433" width="8.69921875" style="2"/>
    <col min="1437" max="1437" width="8.69921875" style="2"/>
    <col min="1441" max="1441" width="8.69921875" style="2"/>
    <col min="1445" max="1445" width="8.69921875" style="2"/>
    <col min="1449" max="1449" width="8.69921875" style="2"/>
    <col min="1453" max="1453" width="8.69921875" style="2"/>
    <col min="1457" max="1457" width="8.69921875" style="2"/>
    <col min="1461" max="1461" width="8.69921875" style="2"/>
    <col min="1465" max="1465" width="8.69921875" style="2"/>
    <col min="1469" max="1469" width="8.69921875" style="2"/>
    <col min="1473" max="1473" width="8.69921875" style="2"/>
    <col min="1477" max="1477" width="8.69921875" style="2"/>
    <col min="1481" max="1481" width="8.69921875" style="2"/>
    <col min="1485" max="1485" width="8.69921875" style="2"/>
    <col min="1489" max="1489" width="8.69921875" style="2"/>
    <col min="1493" max="1493" width="8.69921875" style="2"/>
    <col min="1497" max="1497" width="8.69921875" style="2"/>
    <col min="1501" max="1501" width="8.69921875" style="2"/>
    <col min="1505" max="1505" width="8.69921875" style="2"/>
    <col min="1509" max="1509" width="8.69921875" style="2"/>
    <col min="1513" max="1513" width="8.69921875" style="2"/>
    <col min="1517" max="1517" width="8.69921875" style="2"/>
    <col min="1521" max="1521" width="8.69921875" style="2"/>
    <col min="1525" max="1525" width="8.69921875" style="2"/>
    <col min="1529" max="1529" width="8.69921875" style="2"/>
    <col min="1533" max="1533" width="8.69921875" style="2"/>
    <col min="1537" max="1537" width="8.69921875" style="2"/>
    <col min="1541" max="1541" width="8.69921875" style="2"/>
    <col min="1545" max="1545" width="8.69921875" style="2"/>
    <col min="1549" max="1549" width="8.69921875" style="2"/>
    <col min="1553" max="1553" width="8.69921875" style="2"/>
    <col min="1557" max="1557" width="8.69921875" style="2"/>
    <col min="1561" max="1561" width="8.69921875" style="2"/>
    <col min="1565" max="1565" width="8.69921875" style="2"/>
    <col min="1569" max="1569" width="8.69921875" style="2"/>
    <col min="1573" max="1573" width="8.69921875" style="2"/>
    <col min="1577" max="1577" width="8.69921875" style="2"/>
    <col min="1581" max="1581" width="8.69921875" style="2"/>
    <col min="1585" max="1585" width="8.69921875" style="2"/>
    <col min="1589" max="1589" width="8.69921875" style="2"/>
    <col min="1593" max="1593" width="8.69921875" style="2"/>
    <col min="1597" max="1597" width="8.69921875" style="2"/>
    <col min="1601" max="1601" width="8.69921875" style="2"/>
    <col min="1605" max="1605" width="8.69921875" style="2"/>
    <col min="1609" max="1609" width="8.69921875" style="2"/>
    <col min="1613" max="1613" width="8.69921875" style="2"/>
    <col min="1617" max="1617" width="8.69921875" style="2"/>
    <col min="1621" max="1621" width="8.69921875" style="2"/>
    <col min="1625" max="1625" width="8.69921875" style="2"/>
    <col min="1629" max="1629" width="8.69921875" style="2"/>
    <col min="1633" max="1633" width="8.69921875" style="2"/>
    <col min="1637" max="1637" width="8.69921875" style="2"/>
    <col min="1641" max="1641" width="8.69921875" style="2"/>
    <col min="1645" max="1645" width="8.69921875" style="2"/>
    <col min="1649" max="1649" width="8.69921875" style="2"/>
    <col min="1653" max="1653" width="8.69921875" style="2"/>
    <col min="1657" max="1657" width="8.69921875" style="2"/>
    <col min="1661" max="1661" width="8.69921875" style="2"/>
    <col min="1665" max="1665" width="8.69921875" style="2"/>
    <col min="1669" max="1669" width="8.69921875" style="2"/>
    <col min="1673" max="1673" width="8.69921875" style="2"/>
    <col min="1677" max="1677" width="8.69921875" style="2"/>
    <col min="1681" max="1681" width="8.69921875" style="2"/>
    <col min="1685" max="1685" width="8.69921875" style="2"/>
    <col min="1689" max="1689" width="8.69921875" style="2"/>
    <col min="1693" max="1693" width="8.69921875" style="2"/>
    <col min="1697" max="1697" width="8.69921875" style="2"/>
    <col min="1701" max="1701" width="8.69921875" style="2"/>
    <col min="1705" max="1705" width="8.69921875" style="2"/>
    <col min="1709" max="1709" width="8.69921875" style="2"/>
    <col min="1713" max="1713" width="8.69921875" style="2"/>
    <col min="1717" max="1717" width="8.69921875" style="2"/>
    <col min="1721" max="1721" width="8.69921875" style="2"/>
    <col min="1725" max="1725" width="8.69921875" style="2"/>
    <col min="1729" max="1729" width="8.69921875" style="2"/>
    <col min="1733" max="1733" width="8.69921875" style="2"/>
    <col min="1737" max="1737" width="8.69921875" style="2"/>
    <col min="1741" max="1741" width="8.69921875" style="2"/>
    <col min="1745" max="1745" width="8.69921875" style="2"/>
    <col min="1749" max="1749" width="8.69921875" style="2"/>
    <col min="1753" max="1753" width="8.69921875" style="2"/>
    <col min="1757" max="1757" width="8.69921875" style="2"/>
    <col min="1761" max="1761" width="8.69921875" style="2"/>
    <col min="1765" max="1765" width="8.69921875" style="2"/>
    <col min="1769" max="1769" width="8.69921875" style="2"/>
    <col min="1773" max="1773" width="8.69921875" style="2"/>
    <col min="1777" max="1777" width="8.69921875" style="2"/>
    <col min="1781" max="1781" width="8.69921875" style="2"/>
    <col min="1785" max="1785" width="8.69921875" style="2"/>
    <col min="1789" max="1789" width="8.69921875" style="2"/>
    <col min="1793" max="1793" width="8.69921875" style="2"/>
    <col min="1797" max="1797" width="8.69921875" style="2"/>
    <col min="1801" max="1801" width="8.69921875" style="2"/>
    <col min="1805" max="1805" width="8.69921875" style="2"/>
    <col min="1809" max="1809" width="8.69921875" style="2"/>
    <col min="1813" max="1813" width="8.69921875" style="2"/>
    <col min="1817" max="1817" width="8.69921875" style="2"/>
    <col min="1821" max="1821" width="8.69921875" style="2"/>
    <col min="1825" max="1825" width="8.69921875" style="2"/>
    <col min="1829" max="1829" width="8.69921875" style="2"/>
    <col min="1833" max="1833" width="8.69921875" style="2"/>
    <col min="1837" max="1837" width="8.69921875" style="2"/>
    <col min="1841" max="1841" width="8.69921875" style="2"/>
    <col min="1845" max="1845" width="8.69921875" style="2"/>
    <col min="1849" max="1849" width="8.69921875" style="2"/>
    <col min="1853" max="1853" width="8.69921875" style="2"/>
    <col min="1857" max="1857" width="8.69921875" style="2"/>
    <col min="1861" max="1861" width="8.69921875" style="2"/>
    <col min="1865" max="1865" width="8.69921875" style="2"/>
    <col min="1869" max="1869" width="8.69921875" style="2"/>
    <col min="1873" max="1873" width="8.69921875" style="2"/>
    <col min="1877" max="1877" width="8.69921875" style="2"/>
    <col min="1881" max="1881" width="8.69921875" style="2"/>
    <col min="1885" max="1885" width="8.69921875" style="2"/>
    <col min="1889" max="1889" width="8.69921875" style="2"/>
    <col min="1893" max="1893" width="8.69921875" style="2"/>
    <col min="1897" max="1897" width="8.69921875" style="2"/>
    <col min="1901" max="1901" width="8.69921875" style="2"/>
    <col min="1905" max="1905" width="8.69921875" style="2"/>
    <col min="1909" max="1909" width="8.69921875" style="2"/>
    <col min="1913" max="1913" width="8.69921875" style="2"/>
    <col min="1917" max="1917" width="8.69921875" style="2"/>
    <col min="1921" max="1921" width="8.69921875" style="2"/>
    <col min="1925" max="1925" width="8.69921875" style="2"/>
    <col min="1929" max="1929" width="8.69921875" style="2"/>
    <col min="1933" max="1933" width="8.69921875" style="2"/>
    <col min="1937" max="1937" width="8.69921875" style="2"/>
    <col min="1941" max="1941" width="8.69921875" style="2"/>
    <col min="1945" max="1945" width="8.69921875" style="2"/>
    <col min="1949" max="1949" width="8.69921875" style="2"/>
    <col min="1953" max="1953" width="8.69921875" style="2"/>
    <col min="1957" max="1957" width="8.69921875" style="2"/>
    <col min="1961" max="1961" width="8.69921875" style="2"/>
    <col min="1965" max="1965" width="8.69921875" style="2"/>
    <col min="1969" max="1969" width="8.69921875" style="2"/>
    <col min="1973" max="1973" width="8.69921875" style="2"/>
    <col min="1977" max="1977" width="8.69921875" style="2"/>
    <col min="1981" max="1981" width="8.69921875" style="2"/>
    <col min="1985" max="1985" width="8.69921875" style="2"/>
    <col min="1989" max="1989" width="8.69921875" style="2"/>
    <col min="1993" max="1993" width="8.69921875" style="2"/>
    <col min="1997" max="1997" width="8.69921875" style="2"/>
    <col min="2001" max="2001" width="8.69921875" style="2"/>
    <col min="2005" max="2005" width="8.69921875" style="2"/>
    <col min="2009" max="2009" width="8.69921875" style="2"/>
    <col min="2013" max="2013" width="8.69921875" style="2"/>
    <col min="2017" max="2017" width="8.69921875" style="2"/>
    <col min="2021" max="2021" width="8.69921875" style="2"/>
    <col min="2025" max="2025" width="8.69921875" style="2"/>
    <col min="2029" max="2029" width="8.69921875" style="2"/>
    <col min="2033" max="2033" width="8.69921875" style="2"/>
    <col min="2037" max="2037" width="8.69921875" style="2"/>
    <col min="2041" max="2041" width="8.69921875" style="2"/>
    <col min="2045" max="2045" width="8.69921875" style="2"/>
    <col min="2049" max="2049" width="8.69921875" style="2"/>
    <col min="2053" max="2053" width="8.69921875" style="2"/>
    <col min="2057" max="2057" width="8.69921875" style="2"/>
    <col min="2061" max="2061" width="8.69921875" style="2"/>
    <col min="2065" max="2065" width="8.69921875" style="2"/>
    <col min="2069" max="2069" width="8.69921875" style="2"/>
    <col min="2073" max="2073" width="8.69921875" style="2"/>
    <col min="2077" max="2077" width="8.69921875" style="2"/>
    <col min="2081" max="2081" width="8.69921875" style="2"/>
    <col min="2085" max="2085" width="8.69921875" style="2"/>
    <col min="2089" max="2089" width="8.69921875" style="2"/>
    <col min="2093" max="2093" width="8.69921875" style="2"/>
    <col min="2097" max="2097" width="8.69921875" style="2"/>
    <col min="2101" max="2101" width="8.69921875" style="2"/>
    <col min="2105" max="2105" width="8.69921875" style="2"/>
    <col min="2109" max="2109" width="8.69921875" style="2"/>
    <col min="2113" max="2113" width="8.69921875" style="2"/>
    <col min="2117" max="2117" width="8.69921875" style="2"/>
    <col min="2121" max="2121" width="8.69921875" style="2"/>
    <col min="2125" max="2125" width="8.69921875" style="2"/>
    <col min="2129" max="2129" width="8.69921875" style="2"/>
    <col min="2133" max="2133" width="8.69921875" style="2"/>
    <col min="2137" max="2137" width="8.69921875" style="2"/>
    <col min="2141" max="2141" width="8.69921875" style="2"/>
    <col min="2145" max="2145" width="8.69921875" style="2"/>
    <col min="2149" max="2149" width="8.69921875" style="2"/>
    <col min="2153" max="2153" width="8.69921875" style="2"/>
    <col min="2157" max="2157" width="8.69921875" style="2"/>
    <col min="2161" max="2161" width="8.69921875" style="2"/>
    <col min="2165" max="2165" width="8.69921875" style="2"/>
    <col min="2169" max="2169" width="8.69921875" style="2"/>
    <col min="2173" max="2173" width="8.69921875" style="2"/>
    <col min="2177" max="2177" width="8.69921875" style="2"/>
    <col min="2181" max="2181" width="8.69921875" style="2"/>
    <col min="2185" max="2185" width="8.69921875" style="2"/>
    <col min="2189" max="2189" width="8.69921875" style="2"/>
    <col min="2193" max="2193" width="8.69921875" style="2"/>
    <col min="2197" max="2197" width="8.69921875" style="2"/>
    <col min="2201" max="2201" width="8.69921875" style="2"/>
    <col min="2205" max="2205" width="8.69921875" style="2"/>
    <col min="2209" max="2209" width="8.69921875" style="2"/>
    <col min="2213" max="2213" width="8.69921875" style="2"/>
    <col min="2217" max="2217" width="8.69921875" style="2"/>
    <col min="2221" max="2221" width="8.69921875" style="2"/>
    <col min="2225" max="2225" width="8.69921875" style="2"/>
    <col min="2229" max="2229" width="8.69921875" style="2"/>
    <col min="2233" max="2233" width="8.69921875" style="2"/>
    <col min="2237" max="2237" width="8.69921875" style="2"/>
    <col min="2241" max="2241" width="8.69921875" style="2"/>
    <col min="2245" max="2245" width="8.69921875" style="2"/>
    <col min="2249" max="2249" width="8.69921875" style="2"/>
    <col min="2253" max="2253" width="8.69921875" style="2"/>
    <col min="2257" max="2257" width="8.69921875" style="2"/>
    <col min="2261" max="2261" width="8.69921875" style="2"/>
    <col min="2265" max="2265" width="8.69921875" style="2"/>
    <col min="2269" max="2269" width="8.69921875" style="2"/>
    <col min="2273" max="2273" width="8.69921875" style="2"/>
    <col min="2277" max="2277" width="8.69921875" style="2"/>
    <col min="2281" max="2281" width="8.69921875" style="2"/>
    <col min="2285" max="2285" width="8.69921875" style="2"/>
    <col min="2289" max="2289" width="8.69921875" style="2"/>
    <col min="2293" max="2293" width="8.69921875" style="2"/>
    <col min="2297" max="2297" width="8.69921875" style="2"/>
    <col min="2301" max="2301" width="8.69921875" style="2"/>
    <col min="2305" max="2305" width="8.69921875" style="2"/>
    <col min="2309" max="2309" width="8.69921875" style="2"/>
    <col min="2313" max="2313" width="8.69921875" style="2"/>
    <col min="2317" max="2317" width="8.69921875" style="2"/>
    <col min="2321" max="2321" width="8.69921875" style="2"/>
    <col min="2325" max="2325" width="8.69921875" style="2"/>
    <col min="2329" max="2329" width="8.69921875" style="2"/>
    <col min="2333" max="2333" width="8.69921875" style="2"/>
    <col min="2337" max="2337" width="8.69921875" style="2"/>
    <col min="2341" max="2341" width="8.69921875" style="2"/>
    <col min="2345" max="2345" width="8.69921875" style="2"/>
    <col min="2349" max="2349" width="8.69921875" style="2"/>
    <col min="2353" max="2353" width="8.69921875" style="2"/>
    <col min="2357" max="2357" width="8.69921875" style="2"/>
    <col min="2361" max="2361" width="8.69921875" style="2"/>
    <col min="2365" max="2365" width="8.69921875" style="2"/>
    <col min="2369" max="2369" width="8.69921875" style="2"/>
    <col min="2373" max="2373" width="8.69921875" style="2"/>
    <col min="2377" max="2377" width="8.69921875" style="2"/>
    <col min="2381" max="2381" width="8.69921875" style="2"/>
    <col min="2385" max="2385" width="8.69921875" style="2"/>
    <col min="2389" max="2389" width="8.69921875" style="2"/>
    <col min="2393" max="2393" width="8.69921875" style="2"/>
    <col min="2397" max="2397" width="8.69921875" style="2"/>
    <col min="2401" max="2401" width="8.69921875" style="2"/>
    <col min="2405" max="2405" width="8.69921875" style="2"/>
    <col min="2409" max="2409" width="8.69921875" style="2"/>
    <col min="2413" max="2413" width="8.69921875" style="2"/>
    <col min="2417" max="2417" width="8.69921875" style="2"/>
    <col min="2421" max="2421" width="8.69921875" style="2"/>
    <col min="2425" max="2425" width="8.69921875" style="2"/>
    <col min="2429" max="2429" width="8.69921875" style="2"/>
    <col min="2433" max="2433" width="8.69921875" style="2"/>
    <col min="2437" max="2437" width="8.69921875" style="2"/>
    <col min="2441" max="2441" width="8.69921875" style="2"/>
    <col min="2445" max="2445" width="8.69921875" style="2"/>
    <col min="2449" max="2449" width="8.69921875" style="2"/>
    <col min="2453" max="2453" width="8.69921875" style="2"/>
    <col min="2457" max="2457" width="8.69921875" style="2"/>
    <col min="2461" max="2461" width="8.69921875" style="2"/>
    <col min="2465" max="2465" width="8.69921875" style="2"/>
    <col min="2469" max="2469" width="8.69921875" style="2"/>
    <col min="2473" max="2473" width="8.69921875" style="2"/>
    <col min="2477" max="2477" width="8.69921875" style="2"/>
    <col min="2481" max="2481" width="8.69921875" style="2"/>
    <col min="2485" max="2485" width="8.69921875" style="2"/>
    <col min="2489" max="2489" width="8.69921875" style="2"/>
    <col min="2493" max="2493" width="8.69921875" style="2"/>
    <col min="2497" max="2497" width="8.69921875" style="2"/>
    <col min="2501" max="2501" width="8.69921875" style="2"/>
    <col min="2505" max="2505" width="8.69921875" style="2"/>
    <col min="2509" max="2509" width="8.69921875" style="2"/>
    <col min="2513" max="2513" width="8.69921875" style="2"/>
    <col min="2517" max="2517" width="8.69921875" style="2"/>
    <col min="2521" max="2521" width="8.69921875" style="2"/>
    <col min="2525" max="2525" width="8.69921875" style="2"/>
    <col min="2529" max="2529" width="8.69921875" style="2"/>
    <col min="2533" max="2533" width="8.69921875" style="2"/>
    <col min="2537" max="2537" width="8.69921875" style="2"/>
    <col min="2541" max="2541" width="8.69921875" style="2"/>
    <col min="2545" max="2545" width="8.69921875" style="2"/>
    <col min="2549" max="2549" width="8.69921875" style="2"/>
    <col min="2553" max="2553" width="8.69921875" style="2"/>
    <col min="2557" max="2557" width="8.69921875" style="2"/>
    <col min="2561" max="2561" width="8.69921875" style="2"/>
    <col min="2565" max="2565" width="8.69921875" style="2"/>
    <col min="2569" max="2569" width="8.69921875" style="2"/>
    <col min="2573" max="2573" width="8.69921875" style="2"/>
    <col min="2577" max="2577" width="8.69921875" style="2"/>
    <col min="2581" max="2581" width="8.69921875" style="2"/>
    <col min="2585" max="2585" width="8.69921875" style="2"/>
    <col min="2589" max="2589" width="8.69921875" style="2"/>
    <col min="2593" max="2593" width="8.69921875" style="2"/>
    <col min="2597" max="2597" width="8.69921875" style="2"/>
    <col min="2601" max="2601" width="8.69921875" style="2"/>
    <col min="2605" max="2605" width="8.69921875" style="2"/>
    <col min="2609" max="2609" width="8.69921875" style="2"/>
    <col min="2613" max="2613" width="8.69921875" style="2"/>
    <col min="2617" max="2617" width="8.69921875" style="2"/>
    <col min="2621" max="2621" width="8.69921875" style="2"/>
    <col min="2625" max="2625" width="8.69921875" style="2"/>
    <col min="2629" max="2629" width="8.69921875" style="2"/>
    <col min="2633" max="2633" width="8.69921875" style="2"/>
    <col min="2637" max="2637" width="8.69921875" style="2"/>
    <col min="2641" max="2641" width="8.69921875" style="2"/>
    <col min="2645" max="2645" width="8.69921875" style="2"/>
    <col min="2649" max="2649" width="8.69921875" style="2"/>
    <col min="2653" max="2653" width="8.69921875" style="2"/>
    <col min="2657" max="2657" width="8.69921875" style="2"/>
    <col min="2661" max="2661" width="8.69921875" style="2"/>
    <col min="2665" max="2665" width="8.69921875" style="2"/>
    <col min="2669" max="2669" width="8.69921875" style="2"/>
    <col min="2673" max="2673" width="8.69921875" style="2"/>
    <col min="2677" max="2677" width="8.69921875" style="2"/>
    <col min="2681" max="2681" width="8.69921875" style="2"/>
    <col min="2685" max="2685" width="8.69921875" style="2"/>
    <col min="2689" max="2689" width="8.69921875" style="2"/>
    <col min="2693" max="2693" width="8.69921875" style="2"/>
    <col min="2697" max="2697" width="8.69921875" style="2"/>
    <col min="2701" max="2701" width="8.69921875" style="2"/>
    <col min="2705" max="2705" width="8.69921875" style="2"/>
    <col min="2709" max="2709" width="8.69921875" style="2"/>
    <col min="2713" max="2713" width="8.69921875" style="2"/>
    <col min="2717" max="2717" width="8.69921875" style="2"/>
    <col min="2721" max="2721" width="8.69921875" style="2"/>
    <col min="2725" max="2725" width="8.69921875" style="2"/>
    <col min="2729" max="2729" width="8.69921875" style="2"/>
    <col min="2733" max="2733" width="8.69921875" style="2"/>
    <col min="2737" max="2737" width="8.69921875" style="2"/>
    <col min="2741" max="2741" width="8.69921875" style="2"/>
    <col min="2745" max="2745" width="8.69921875" style="2"/>
    <col min="2749" max="2749" width="8.69921875" style="2"/>
    <col min="2753" max="2753" width="8.69921875" style="2"/>
    <col min="2757" max="2757" width="8.69921875" style="2"/>
    <col min="2761" max="2761" width="8.69921875" style="2"/>
    <col min="2765" max="2765" width="8.69921875" style="2"/>
    <col min="2769" max="2769" width="8.69921875" style="2"/>
    <col min="2773" max="2773" width="8.69921875" style="2"/>
    <col min="2777" max="2777" width="8.69921875" style="2"/>
    <col min="2781" max="2781" width="8.69921875" style="2"/>
    <col min="2785" max="2785" width="8.69921875" style="2"/>
    <col min="2789" max="2789" width="8.69921875" style="2"/>
    <col min="2793" max="2793" width="8.69921875" style="2"/>
    <col min="2797" max="2797" width="8.69921875" style="2"/>
    <col min="2801" max="2801" width="8.69921875" style="2"/>
    <col min="2805" max="2805" width="8.69921875" style="2"/>
    <col min="2809" max="2809" width="8.69921875" style="2"/>
    <col min="2813" max="2813" width="8.69921875" style="2"/>
    <col min="2817" max="2817" width="8.69921875" style="2"/>
    <col min="2821" max="2821" width="8.69921875" style="2"/>
    <col min="2825" max="2825" width="8.69921875" style="2"/>
    <col min="2829" max="2829" width="8.69921875" style="2"/>
    <col min="2833" max="2833" width="8.69921875" style="2"/>
    <col min="2837" max="2837" width="8.69921875" style="2"/>
    <col min="2841" max="2841" width="8.69921875" style="2"/>
    <col min="2845" max="2845" width="8.69921875" style="2"/>
    <col min="2849" max="2849" width="8.69921875" style="2"/>
    <col min="2853" max="2853" width="8.69921875" style="2"/>
    <col min="2857" max="2857" width="8.69921875" style="2"/>
    <col min="2861" max="2861" width="8.69921875" style="2"/>
    <col min="2865" max="2865" width="8.69921875" style="2"/>
    <col min="2869" max="2869" width="8.69921875" style="2"/>
    <col min="2873" max="2873" width="8.69921875" style="2"/>
    <col min="2877" max="2877" width="8.69921875" style="2"/>
    <col min="2881" max="2881" width="8.69921875" style="2"/>
    <col min="2885" max="2885" width="8.69921875" style="2"/>
    <col min="2889" max="2889" width="8.69921875" style="2"/>
    <col min="2893" max="2893" width="8.69921875" style="2"/>
    <col min="2897" max="2897" width="8.69921875" style="2"/>
    <col min="2901" max="2901" width="8.69921875" style="2"/>
    <col min="2905" max="2905" width="8.69921875" style="2"/>
    <col min="2909" max="2909" width="8.69921875" style="2"/>
    <col min="2913" max="2913" width="8.69921875" style="2"/>
    <col min="2917" max="2917" width="8.69921875" style="2"/>
    <col min="2921" max="2921" width="8.69921875" style="2"/>
    <col min="2925" max="2925" width="8.69921875" style="2"/>
    <col min="2929" max="2929" width="8.69921875" style="2"/>
    <col min="2933" max="2933" width="8.69921875" style="2"/>
    <col min="2937" max="2937" width="8.69921875" style="2"/>
    <col min="2941" max="2941" width="8.69921875" style="2"/>
    <col min="2945" max="2945" width="8.69921875" style="2"/>
    <col min="2949" max="2949" width="8.69921875" style="2"/>
    <col min="2953" max="2953" width="8.69921875" style="2"/>
    <col min="2957" max="2957" width="8.69921875" style="2"/>
    <col min="2961" max="2961" width="8.69921875" style="2"/>
    <col min="2965" max="2965" width="8.69921875" style="2"/>
    <col min="2969" max="2969" width="8.69921875" style="2"/>
    <col min="2973" max="2973" width="8.69921875" style="2"/>
    <col min="2977" max="2977" width="8.69921875" style="2"/>
    <col min="2981" max="2981" width="8.69921875" style="2"/>
    <col min="2985" max="2985" width="8.69921875" style="2"/>
    <col min="2989" max="2989" width="8.69921875" style="2"/>
    <col min="2993" max="2993" width="8.69921875" style="2"/>
    <col min="2997" max="2997" width="8.69921875" style="2"/>
    <col min="3001" max="3001" width="8.69921875" style="2"/>
    <col min="3005" max="3005" width="8.69921875" style="2"/>
    <col min="3009" max="3009" width="8.69921875" style="2"/>
    <col min="3013" max="3013" width="8.69921875" style="2"/>
    <col min="3017" max="3017" width="8.69921875" style="2"/>
    <col min="3021" max="3021" width="8.69921875" style="2"/>
    <col min="3025" max="3025" width="8.69921875" style="2"/>
    <col min="3029" max="3029" width="8.69921875" style="2"/>
    <col min="3033" max="3033" width="8.69921875" style="2"/>
    <col min="3037" max="3037" width="8.69921875" style="2"/>
    <col min="3041" max="3041" width="8.69921875" style="2"/>
    <col min="3045" max="3045" width="8.69921875" style="2"/>
    <col min="3049" max="3049" width="8.69921875" style="2"/>
    <col min="3053" max="3053" width="8.69921875" style="2"/>
    <col min="3057" max="3057" width="8.69921875" style="2"/>
    <col min="3061" max="3061" width="8.69921875" style="2"/>
    <col min="3065" max="3065" width="8.69921875" style="2"/>
    <col min="3069" max="3069" width="8.69921875" style="2"/>
    <col min="3073" max="3073" width="8.69921875" style="2"/>
    <col min="3077" max="3077" width="8.69921875" style="2"/>
    <col min="3081" max="3081" width="8.69921875" style="2"/>
    <col min="3085" max="3085" width="8.69921875" style="2"/>
    <col min="3089" max="3089" width="8.69921875" style="2"/>
    <col min="3093" max="3093" width="8.69921875" style="2"/>
    <col min="3097" max="3097" width="8.69921875" style="2"/>
    <col min="3101" max="3101" width="8.69921875" style="2"/>
    <col min="3105" max="3105" width="8.69921875" style="2"/>
    <col min="3109" max="3109" width="8.69921875" style="2"/>
    <col min="3113" max="3113" width="8.69921875" style="2"/>
    <col min="3117" max="3117" width="8.69921875" style="2"/>
    <col min="3121" max="3121" width="8.69921875" style="2"/>
    <col min="3125" max="3125" width="8.69921875" style="2"/>
    <col min="3129" max="3129" width="8.69921875" style="2"/>
    <col min="3133" max="3133" width="8.69921875" style="2"/>
    <col min="3137" max="3137" width="8.69921875" style="2"/>
    <col min="3141" max="3141" width="8.69921875" style="2"/>
    <col min="3145" max="3145" width="8.69921875" style="2"/>
    <col min="3149" max="3149" width="8.69921875" style="2"/>
    <col min="3153" max="3153" width="8.69921875" style="2"/>
    <col min="3157" max="3157" width="8.69921875" style="2"/>
    <col min="3161" max="3161" width="8.69921875" style="2"/>
    <col min="3165" max="3165" width="8.69921875" style="2"/>
    <col min="3169" max="3169" width="8.69921875" style="2"/>
    <col min="3173" max="3173" width="8.69921875" style="2"/>
    <col min="3177" max="3177" width="8.69921875" style="2"/>
    <col min="3181" max="3181" width="8.69921875" style="2"/>
    <col min="3185" max="3185" width="8.69921875" style="2"/>
    <col min="3189" max="3189" width="8.69921875" style="2"/>
    <col min="3193" max="3193" width="8.69921875" style="2"/>
    <col min="3197" max="3197" width="8.69921875" style="2"/>
    <col min="3201" max="3201" width="8.69921875" style="2"/>
    <col min="3205" max="3205" width="8.69921875" style="2"/>
    <col min="3209" max="3209" width="8.69921875" style="2"/>
    <col min="3213" max="3213" width="8.69921875" style="2"/>
    <col min="3217" max="3217" width="8.69921875" style="2"/>
    <col min="3221" max="3221" width="8.69921875" style="2"/>
    <col min="3225" max="3225" width="8.69921875" style="2"/>
    <col min="3229" max="3229" width="8.69921875" style="2"/>
    <col min="3233" max="3233" width="8.69921875" style="2"/>
    <col min="3237" max="3237" width="8.69921875" style="2"/>
    <col min="3241" max="3241" width="8.69921875" style="2"/>
    <col min="3245" max="3245" width="8.69921875" style="2"/>
    <col min="3249" max="3249" width="8.69921875" style="2"/>
    <col min="3253" max="3253" width="8.69921875" style="2"/>
    <col min="3257" max="3257" width="8.69921875" style="2"/>
    <col min="3261" max="3261" width="8.69921875" style="2"/>
    <col min="3265" max="3265" width="8.69921875" style="2"/>
    <col min="3269" max="3269" width="8.69921875" style="2"/>
    <col min="3273" max="3273" width="8.69921875" style="2"/>
    <col min="3277" max="3277" width="8.69921875" style="2"/>
    <col min="3281" max="3281" width="8.69921875" style="2"/>
    <col min="3285" max="3285" width="8.69921875" style="2"/>
    <col min="3289" max="3289" width="8.69921875" style="2"/>
    <col min="3293" max="3293" width="8.69921875" style="2"/>
    <col min="3297" max="3297" width="8.69921875" style="2"/>
    <col min="3301" max="3301" width="8.69921875" style="2"/>
    <col min="3305" max="3305" width="8.69921875" style="2"/>
    <col min="3309" max="3309" width="8.69921875" style="2"/>
    <col min="3313" max="3313" width="8.69921875" style="2"/>
    <col min="3317" max="3317" width="8.69921875" style="2"/>
    <col min="3321" max="3321" width="8.69921875" style="2"/>
    <col min="3325" max="3325" width="8.69921875" style="2"/>
    <col min="3329" max="3329" width="8.69921875" style="2"/>
    <col min="3333" max="3333" width="8.69921875" style="2"/>
    <col min="3337" max="3337" width="8.69921875" style="2"/>
    <col min="3341" max="3341" width="8.69921875" style="2"/>
    <col min="3345" max="3345" width="8.69921875" style="2"/>
    <col min="3349" max="3349" width="8.69921875" style="2"/>
    <col min="3353" max="3353" width="8.69921875" style="2"/>
    <col min="3357" max="3357" width="8.69921875" style="2"/>
    <col min="3361" max="3361" width="8.69921875" style="2"/>
    <col min="3365" max="3365" width="8.69921875" style="2"/>
    <col min="3369" max="3369" width="8.69921875" style="2"/>
    <col min="3373" max="3373" width="8.69921875" style="2"/>
    <col min="3377" max="3377" width="8.69921875" style="2"/>
    <col min="3381" max="3381" width="8.69921875" style="2"/>
    <col min="3385" max="3385" width="8.69921875" style="2"/>
    <col min="3389" max="3389" width="8.69921875" style="2"/>
    <col min="3393" max="3393" width="8.69921875" style="2"/>
    <col min="3397" max="3397" width="8.69921875" style="2"/>
    <col min="3401" max="3401" width="8.69921875" style="2"/>
    <col min="3405" max="3405" width="8.69921875" style="2"/>
    <col min="3409" max="3409" width="8.69921875" style="2"/>
    <col min="3413" max="3413" width="8.69921875" style="2"/>
    <col min="3417" max="3417" width="8.69921875" style="2"/>
    <col min="3421" max="3421" width="8.69921875" style="2"/>
    <col min="3425" max="3425" width="8.69921875" style="2"/>
    <col min="3429" max="3429" width="8.69921875" style="2"/>
    <col min="3433" max="3433" width="8.69921875" style="2"/>
    <col min="3437" max="3437" width="8.69921875" style="2"/>
    <col min="3441" max="3441" width="8.69921875" style="2"/>
    <col min="3445" max="3445" width="8.69921875" style="2"/>
    <col min="3449" max="3449" width="8.69921875" style="2"/>
    <col min="3453" max="3453" width="8.69921875" style="2"/>
    <col min="3457" max="3457" width="8.69921875" style="2"/>
    <col min="3461" max="3461" width="8.69921875" style="2"/>
    <col min="3465" max="3465" width="8.69921875" style="2"/>
    <col min="3469" max="3469" width="8.69921875" style="2"/>
    <col min="3473" max="3473" width="8.69921875" style="2"/>
    <col min="3477" max="3477" width="8.69921875" style="2"/>
    <col min="3481" max="3481" width="8.69921875" style="2"/>
    <col min="3485" max="3485" width="8.69921875" style="2"/>
    <col min="3489" max="3489" width="8.69921875" style="2"/>
    <col min="3493" max="3493" width="8.69921875" style="2"/>
    <col min="3497" max="3497" width="8.69921875" style="2"/>
    <col min="3501" max="3501" width="8.69921875" style="2"/>
    <col min="3505" max="3505" width="8.69921875" style="2"/>
    <col min="3509" max="3509" width="8.69921875" style="2"/>
    <col min="3513" max="3513" width="8.69921875" style="2"/>
    <col min="3517" max="3517" width="8.69921875" style="2"/>
    <col min="3521" max="3521" width="8.69921875" style="2"/>
    <col min="3525" max="3525" width="8.69921875" style="2"/>
    <col min="3529" max="3529" width="8.69921875" style="2"/>
    <col min="3533" max="3533" width="8.69921875" style="2"/>
    <col min="3537" max="3537" width="8.69921875" style="2"/>
    <col min="3541" max="3541" width="8.69921875" style="2"/>
    <col min="3545" max="3545" width="8.69921875" style="2"/>
    <col min="3549" max="3549" width="8.69921875" style="2"/>
    <col min="3553" max="3553" width="8.69921875" style="2"/>
    <col min="3557" max="3557" width="8.69921875" style="2"/>
    <col min="3561" max="3561" width="8.69921875" style="2"/>
    <col min="3565" max="3565" width="8.69921875" style="2"/>
    <col min="3569" max="3569" width="8.69921875" style="2"/>
    <col min="3573" max="3573" width="8.69921875" style="2"/>
    <col min="3577" max="3577" width="8.69921875" style="2"/>
    <col min="3581" max="3581" width="8.69921875" style="2"/>
    <col min="3585" max="3585" width="8.69921875" style="2"/>
    <col min="3589" max="3589" width="8.69921875" style="2"/>
    <col min="3593" max="3593" width="8.69921875" style="2"/>
    <col min="3597" max="3597" width="8.69921875" style="2"/>
    <col min="3601" max="3601" width="8.69921875" style="2"/>
    <col min="3605" max="3605" width="8.69921875" style="2"/>
    <col min="3609" max="3609" width="8.69921875" style="2"/>
    <col min="3613" max="3613" width="8.69921875" style="2"/>
    <col min="3617" max="3617" width="8.69921875" style="2"/>
    <col min="3621" max="3621" width="8.69921875" style="2"/>
    <col min="3625" max="3625" width="8.69921875" style="2"/>
    <col min="3629" max="3629" width="8.69921875" style="2"/>
    <col min="3633" max="3633" width="8.69921875" style="2"/>
    <col min="3637" max="3637" width="8.69921875" style="2"/>
    <col min="3641" max="3641" width="8.69921875" style="2"/>
    <col min="3645" max="3645" width="8.69921875" style="2"/>
    <col min="3649" max="3649" width="8.69921875" style="2"/>
    <col min="3653" max="3653" width="8.69921875" style="2"/>
    <col min="3657" max="3657" width="8.69921875" style="2"/>
    <col min="3661" max="3661" width="8.69921875" style="2"/>
    <col min="3665" max="3665" width="8.69921875" style="2"/>
    <col min="3669" max="3669" width="8.69921875" style="2"/>
    <col min="3673" max="3673" width="8.69921875" style="2"/>
    <col min="3677" max="3677" width="8.69921875" style="2"/>
    <col min="3681" max="3681" width="8.69921875" style="2"/>
    <col min="3685" max="3685" width="8.69921875" style="2"/>
    <col min="3689" max="3689" width="8.69921875" style="2"/>
    <col min="3693" max="3693" width="8.69921875" style="2"/>
    <col min="3697" max="3697" width="8.69921875" style="2"/>
    <col min="3701" max="3701" width="8.69921875" style="2"/>
    <col min="3705" max="3705" width="8.69921875" style="2"/>
    <col min="3709" max="3709" width="8.69921875" style="2"/>
    <col min="3713" max="3713" width="8.69921875" style="2"/>
    <col min="3717" max="3717" width="8.69921875" style="2"/>
    <col min="3721" max="3721" width="8.69921875" style="2"/>
    <col min="3725" max="3725" width="8.69921875" style="2"/>
    <col min="3729" max="3729" width="8.69921875" style="2"/>
    <col min="3733" max="3733" width="8.69921875" style="2"/>
    <col min="3737" max="3737" width="8.69921875" style="2"/>
    <col min="3741" max="3741" width="8.69921875" style="2"/>
    <col min="3745" max="3745" width="8.69921875" style="2"/>
    <col min="3749" max="3749" width="8.69921875" style="2"/>
    <col min="3753" max="3753" width="8.69921875" style="2"/>
    <col min="3757" max="3757" width="8.69921875" style="2"/>
    <col min="3761" max="3761" width="8.69921875" style="2"/>
    <col min="3765" max="3765" width="8.69921875" style="2"/>
    <col min="3769" max="3769" width="8.69921875" style="2"/>
    <col min="3773" max="3773" width="8.69921875" style="2"/>
    <col min="3777" max="3777" width="8.69921875" style="2"/>
    <col min="3781" max="3781" width="8.69921875" style="2"/>
    <col min="3785" max="3785" width="8.69921875" style="2"/>
    <col min="3789" max="3789" width="8.69921875" style="2"/>
    <col min="3793" max="3793" width="8.69921875" style="2"/>
    <col min="3797" max="3797" width="8.69921875" style="2"/>
    <col min="3801" max="3801" width="8.69921875" style="2"/>
    <col min="3805" max="3805" width="8.69921875" style="2"/>
    <col min="3809" max="3809" width="8.69921875" style="2"/>
    <col min="3813" max="3813" width="8.69921875" style="2"/>
    <col min="3817" max="3817" width="8.69921875" style="2"/>
    <col min="3821" max="3821" width="8.69921875" style="2"/>
    <col min="3825" max="3825" width="8.69921875" style="2"/>
    <col min="3829" max="3829" width="8.69921875" style="2"/>
    <col min="3833" max="3833" width="8.69921875" style="2"/>
    <col min="3837" max="3837" width="8.69921875" style="2"/>
    <col min="3841" max="3841" width="8.69921875" style="2"/>
    <col min="3845" max="3845" width="8.69921875" style="2"/>
    <col min="3849" max="3849" width="8.69921875" style="2"/>
    <col min="3853" max="3853" width="8.69921875" style="2"/>
    <col min="3857" max="3857" width="8.69921875" style="2"/>
    <col min="3861" max="3861" width="8.69921875" style="2"/>
    <col min="3865" max="3865" width="8.69921875" style="2"/>
    <col min="3869" max="3869" width="8.69921875" style="2"/>
    <col min="3873" max="3873" width="8.69921875" style="2"/>
    <col min="3877" max="3877" width="8.69921875" style="2"/>
    <col min="3881" max="3881" width="8.69921875" style="2"/>
    <col min="3885" max="3885" width="8.69921875" style="2"/>
    <col min="3889" max="3889" width="8.69921875" style="2"/>
    <col min="3893" max="3893" width="8.69921875" style="2"/>
    <col min="3897" max="3897" width="8.69921875" style="2"/>
    <col min="3901" max="3901" width="8.69921875" style="2"/>
    <col min="3905" max="3905" width="8.69921875" style="2"/>
    <col min="3909" max="3909" width="8.69921875" style="2"/>
    <col min="3913" max="3913" width="8.69921875" style="2"/>
    <col min="3917" max="3917" width="8.69921875" style="2"/>
    <col min="3921" max="3921" width="8.69921875" style="2"/>
    <col min="3925" max="3925" width="8.69921875" style="2"/>
    <col min="3929" max="3929" width="8.69921875" style="2"/>
    <col min="3933" max="3933" width="8.69921875" style="2"/>
    <col min="3937" max="3937" width="8.69921875" style="2"/>
    <col min="3941" max="3941" width="8.69921875" style="2"/>
    <col min="3945" max="3945" width="8.69921875" style="2"/>
    <col min="3949" max="3949" width="8.69921875" style="2"/>
    <col min="3953" max="3953" width="8.69921875" style="2"/>
    <col min="3957" max="3957" width="8.69921875" style="2"/>
    <col min="3961" max="3961" width="8.69921875" style="2"/>
    <col min="3965" max="3965" width="8.69921875" style="2"/>
    <col min="3969" max="3969" width="8.69921875" style="2"/>
    <col min="3973" max="3973" width="8.69921875" style="2"/>
    <col min="3977" max="3977" width="8.69921875" style="2"/>
    <col min="3981" max="3981" width="8.69921875" style="2"/>
    <col min="3985" max="3985" width="8.69921875" style="2"/>
    <col min="3989" max="3989" width="8.69921875" style="2"/>
    <col min="3993" max="3993" width="8.69921875" style="2"/>
    <col min="3997" max="3997" width="8.69921875" style="2"/>
    <col min="4001" max="4001" width="8.69921875" style="2"/>
    <col min="4005" max="4005" width="8.69921875" style="2"/>
    <col min="4009" max="4009" width="8.69921875" style="2"/>
    <col min="4013" max="4013" width="8.69921875" style="2"/>
    <col min="4017" max="4017" width="8.69921875" style="2"/>
    <col min="4021" max="4021" width="8.69921875" style="2"/>
    <col min="4025" max="4025" width="8.69921875" style="2"/>
    <col min="4029" max="4029" width="8.69921875" style="2"/>
    <col min="4033" max="4033" width="8.69921875" style="2"/>
    <col min="4037" max="4037" width="8.69921875" style="2"/>
    <col min="4041" max="4041" width="8.69921875" style="2"/>
    <col min="4045" max="4045" width="8.69921875" style="2"/>
    <col min="4049" max="4049" width="8.69921875" style="2"/>
    <col min="4053" max="4053" width="8.69921875" style="2"/>
    <col min="4057" max="4057" width="8.69921875" style="2"/>
    <col min="4061" max="4061" width="8.69921875" style="2"/>
    <col min="4065" max="4065" width="8.69921875" style="2"/>
    <col min="4069" max="4069" width="8.69921875" style="2"/>
    <col min="4073" max="4073" width="8.69921875" style="2"/>
    <col min="4077" max="4077" width="8.69921875" style="2"/>
    <col min="4081" max="4081" width="8.69921875" style="2"/>
    <col min="4085" max="4085" width="8.69921875" style="2"/>
    <col min="4089" max="4089" width="8.69921875" style="2"/>
    <col min="4093" max="4093" width="8.69921875" style="2"/>
    <col min="4097" max="4097" width="8.69921875" style="2"/>
    <col min="4101" max="4101" width="8.69921875" style="2"/>
    <col min="4105" max="4105" width="8.69921875" style="2"/>
    <col min="4109" max="4109" width="8.69921875" style="2"/>
    <col min="4113" max="4113" width="8.69921875" style="2"/>
    <col min="4117" max="4117" width="8.69921875" style="2"/>
    <col min="4121" max="4121" width="8.69921875" style="2"/>
    <col min="4125" max="4125" width="8.69921875" style="2"/>
    <col min="4129" max="4129" width="8.69921875" style="2"/>
    <col min="4133" max="4133" width="8.69921875" style="2"/>
    <col min="4137" max="4137" width="8.69921875" style="2"/>
    <col min="4141" max="4141" width="8.69921875" style="2"/>
    <col min="4145" max="4145" width="8.69921875" style="2"/>
    <col min="4149" max="4149" width="8.69921875" style="2"/>
    <col min="4153" max="4153" width="8.69921875" style="2"/>
    <col min="4157" max="4157" width="8.69921875" style="2"/>
    <col min="4161" max="4161" width="8.69921875" style="2"/>
    <col min="4165" max="4165" width="8.69921875" style="2"/>
    <col min="4169" max="4169" width="8.69921875" style="2"/>
    <col min="4173" max="4173" width="8.69921875" style="2"/>
    <col min="4177" max="4177" width="8.69921875" style="2"/>
    <col min="4181" max="4181" width="8.69921875" style="2"/>
    <col min="4185" max="4185" width="8.69921875" style="2"/>
    <col min="4189" max="4189" width="8.69921875" style="2"/>
    <col min="4193" max="4193" width="8.69921875" style="2"/>
    <col min="4197" max="4197" width="8.69921875" style="2"/>
    <col min="4201" max="4201" width="8.69921875" style="2"/>
    <col min="4205" max="4205" width="8.69921875" style="2"/>
    <col min="4209" max="4209" width="8.69921875" style="2"/>
    <col min="4213" max="4213" width="8.69921875" style="2"/>
    <col min="4217" max="4217" width="8.69921875" style="2"/>
    <col min="4221" max="4221" width="8.69921875" style="2"/>
    <col min="4225" max="4225" width="8.69921875" style="2"/>
    <col min="4229" max="4229" width="8.69921875" style="2"/>
    <col min="4233" max="4233" width="8.69921875" style="2"/>
    <col min="4237" max="4237" width="8.69921875" style="2"/>
    <col min="4241" max="4241" width="8.69921875" style="2"/>
    <col min="4245" max="4245" width="8.69921875" style="2"/>
    <col min="4249" max="4249" width="8.69921875" style="2"/>
    <col min="4253" max="4253" width="8.69921875" style="2"/>
    <col min="4257" max="4257" width="8.69921875" style="2"/>
    <col min="4261" max="4261" width="8.69921875" style="2"/>
    <col min="4265" max="4265" width="8.69921875" style="2"/>
    <col min="4269" max="4269" width="8.69921875" style="2"/>
    <col min="4273" max="4273" width="8.69921875" style="2"/>
    <col min="4277" max="4277" width="8.69921875" style="2"/>
    <col min="4281" max="4281" width="8.69921875" style="2"/>
    <col min="4285" max="4285" width="8.69921875" style="2"/>
    <col min="4289" max="4289" width="8.69921875" style="2"/>
    <col min="4293" max="4293" width="8.69921875" style="2"/>
    <col min="4297" max="4297" width="8.69921875" style="2"/>
    <col min="4301" max="4301" width="8.69921875" style="2"/>
    <col min="4305" max="4305" width="8.69921875" style="2"/>
    <col min="4309" max="4309" width="8.69921875" style="2"/>
    <col min="4313" max="4313" width="8.69921875" style="2"/>
    <col min="4317" max="4317" width="8.69921875" style="2"/>
    <col min="4321" max="4321" width="8.69921875" style="2"/>
    <col min="4325" max="4325" width="8.69921875" style="2"/>
    <col min="4329" max="4329" width="8.69921875" style="2"/>
    <col min="4333" max="4333" width="8.69921875" style="2"/>
    <col min="4337" max="4337" width="8.69921875" style="2"/>
    <col min="4341" max="4341" width="8.69921875" style="2"/>
    <col min="4345" max="4345" width="8.69921875" style="2"/>
    <col min="4349" max="4349" width="8.69921875" style="2"/>
    <col min="4353" max="4353" width="8.69921875" style="2"/>
    <col min="4357" max="4357" width="8.69921875" style="2"/>
    <col min="4361" max="4361" width="8.69921875" style="2"/>
    <col min="4365" max="4365" width="8.69921875" style="2"/>
    <col min="4369" max="4369" width="8.69921875" style="2"/>
    <col min="4373" max="4373" width="8.69921875" style="2"/>
    <col min="4377" max="4377" width="8.69921875" style="2"/>
    <col min="4381" max="4381" width="8.69921875" style="2"/>
    <col min="4385" max="4385" width="8.69921875" style="2"/>
    <col min="4389" max="4389" width="8.69921875" style="2"/>
    <col min="4393" max="4393" width="8.69921875" style="2"/>
    <col min="4397" max="4397" width="8.69921875" style="2"/>
    <col min="4401" max="4401" width="8.69921875" style="2"/>
    <col min="4405" max="4405" width="8.69921875" style="2"/>
    <col min="4409" max="4409" width="8.69921875" style="2"/>
    <col min="4413" max="4413" width="8.69921875" style="2"/>
    <col min="4417" max="4417" width="8.69921875" style="2"/>
    <col min="4421" max="4421" width="8.69921875" style="2"/>
    <col min="4425" max="4425" width="8.69921875" style="2"/>
    <col min="4429" max="4429" width="8.69921875" style="2"/>
    <col min="4433" max="4433" width="8.69921875" style="2"/>
    <col min="4437" max="4437" width="8.69921875" style="2"/>
    <col min="4441" max="4441" width="8.69921875" style="2"/>
    <col min="4445" max="4445" width="8.69921875" style="2"/>
    <col min="4449" max="4449" width="8.69921875" style="2"/>
    <col min="4453" max="4453" width="8.69921875" style="2"/>
    <col min="4457" max="4457" width="8.69921875" style="2"/>
    <col min="4461" max="4461" width="8.69921875" style="2"/>
    <col min="4465" max="4465" width="8.69921875" style="2"/>
    <col min="4469" max="4469" width="8.69921875" style="2"/>
    <col min="4473" max="4473" width="8.69921875" style="2"/>
    <col min="4477" max="4477" width="8.69921875" style="2"/>
    <col min="4481" max="4481" width="8.69921875" style="2"/>
    <col min="4485" max="4485" width="8.69921875" style="2"/>
    <col min="4489" max="4489" width="8.69921875" style="2"/>
    <col min="4493" max="4493" width="8.69921875" style="2"/>
    <col min="4497" max="4497" width="8.69921875" style="2"/>
    <col min="4501" max="4501" width="8.69921875" style="2"/>
    <col min="4505" max="4505" width="8.69921875" style="2"/>
    <col min="4509" max="4509" width="8.69921875" style="2"/>
    <col min="4513" max="4513" width="8.69921875" style="2"/>
    <col min="4517" max="4517" width="8.69921875" style="2"/>
    <col min="4521" max="4521" width="8.69921875" style="2"/>
    <col min="4525" max="4525" width="8.69921875" style="2"/>
    <col min="4529" max="4529" width="8.69921875" style="2"/>
    <col min="4533" max="4533" width="8.69921875" style="2"/>
    <col min="4537" max="4537" width="8.69921875" style="2"/>
    <col min="4541" max="4541" width="8.69921875" style="2"/>
    <col min="4545" max="4545" width="8.69921875" style="2"/>
    <col min="4549" max="4549" width="8.69921875" style="2"/>
    <col min="4553" max="4553" width="8.69921875" style="2"/>
    <col min="4557" max="4557" width="8.69921875" style="2"/>
    <col min="4561" max="4561" width="8.69921875" style="2"/>
    <col min="4565" max="4565" width="8.69921875" style="2"/>
    <col min="4569" max="4569" width="8.69921875" style="2"/>
    <col min="4573" max="4573" width="8.69921875" style="2"/>
    <col min="4577" max="4577" width="8.69921875" style="2"/>
    <col min="4581" max="4581" width="8.69921875" style="2"/>
    <col min="4585" max="4585" width="8.69921875" style="2"/>
    <col min="4589" max="4589" width="8.69921875" style="2"/>
    <col min="4593" max="4593" width="8.69921875" style="2"/>
    <col min="4597" max="4597" width="8.69921875" style="2"/>
    <col min="4601" max="4601" width="8.69921875" style="2"/>
    <col min="4605" max="4605" width="8.69921875" style="2"/>
    <col min="4609" max="4609" width="8.69921875" style="2"/>
    <col min="4613" max="4613" width="8.69921875" style="2"/>
    <col min="4617" max="4617" width="8.69921875" style="2"/>
    <col min="4621" max="4621" width="8.69921875" style="2"/>
    <col min="4625" max="4625" width="8.69921875" style="2"/>
    <col min="4629" max="4629" width="8.69921875" style="2"/>
    <col min="4633" max="4633" width="8.69921875" style="2"/>
    <col min="4637" max="4637" width="8.69921875" style="2"/>
    <col min="4641" max="4641" width="8.69921875" style="2"/>
    <col min="4645" max="4645" width="8.69921875" style="2"/>
    <col min="4649" max="4649" width="8.69921875" style="2"/>
    <col min="4653" max="4653" width="8.69921875" style="2"/>
    <col min="4657" max="4657" width="8.69921875" style="2"/>
    <col min="4661" max="4661" width="8.69921875" style="2"/>
    <col min="4665" max="4665" width="8.69921875" style="2"/>
    <col min="4669" max="4669" width="8.69921875" style="2"/>
    <col min="4673" max="4673" width="8.69921875" style="2"/>
    <col min="4677" max="4677" width="8.69921875" style="2"/>
    <col min="4681" max="4681" width="8.69921875" style="2"/>
    <col min="4685" max="4685" width="8.69921875" style="2"/>
    <col min="4689" max="4689" width="8.69921875" style="2"/>
    <col min="4693" max="4693" width="8.69921875" style="2"/>
    <col min="4697" max="4697" width="8.69921875" style="2"/>
    <col min="4701" max="4701" width="8.69921875" style="2"/>
    <col min="4705" max="4705" width="8.69921875" style="2"/>
    <col min="4709" max="4709" width="8.69921875" style="2"/>
    <col min="4713" max="4713" width="8.69921875" style="2"/>
    <col min="4717" max="4717" width="8.69921875" style="2"/>
    <col min="4721" max="4721" width="8.69921875" style="2"/>
    <col min="4725" max="4725" width="8.69921875" style="2"/>
    <col min="4729" max="4729" width="8.69921875" style="2"/>
    <col min="4733" max="4733" width="8.69921875" style="2"/>
    <col min="4737" max="4737" width="8.69921875" style="2"/>
    <col min="4741" max="4741" width="8.69921875" style="2"/>
    <col min="4745" max="4745" width="8.69921875" style="2"/>
    <col min="4749" max="4749" width="8.69921875" style="2"/>
    <col min="4753" max="4753" width="8.69921875" style="2"/>
    <col min="4757" max="4757" width="8.69921875" style="2"/>
    <col min="4761" max="4761" width="8.69921875" style="2"/>
    <col min="4765" max="4765" width="8.69921875" style="2"/>
    <col min="4769" max="4769" width="8.69921875" style="2"/>
    <col min="4773" max="4773" width="8.69921875" style="2"/>
    <col min="4777" max="4777" width="8.69921875" style="2"/>
    <col min="4781" max="4781" width="8.69921875" style="2"/>
    <col min="4785" max="4785" width="8.69921875" style="2"/>
    <col min="4789" max="4789" width="8.69921875" style="2"/>
    <col min="4793" max="4793" width="8.69921875" style="2"/>
    <col min="4797" max="4797" width="8.69921875" style="2"/>
    <col min="4801" max="4801" width="8.69921875" style="2"/>
    <col min="4805" max="4805" width="8.69921875" style="2"/>
    <col min="4809" max="4809" width="8.69921875" style="2"/>
    <col min="4813" max="4813" width="8.69921875" style="2"/>
    <col min="4817" max="4817" width="8.69921875" style="2"/>
    <col min="4821" max="4821" width="8.69921875" style="2"/>
    <col min="4825" max="4825" width="8.69921875" style="2"/>
    <col min="4829" max="4829" width="8.69921875" style="2"/>
    <col min="4833" max="4833" width="8.69921875" style="2"/>
    <col min="4837" max="4837" width="8.69921875" style="2"/>
    <col min="4841" max="4841" width="8.69921875" style="2"/>
    <col min="4845" max="4845" width="8.69921875" style="2"/>
    <col min="4849" max="4849" width="8.69921875" style="2"/>
    <col min="4853" max="4853" width="8.69921875" style="2"/>
    <col min="4857" max="4857" width="8.69921875" style="2"/>
    <col min="4861" max="4861" width="8.69921875" style="2"/>
    <col min="4865" max="4865" width="8.69921875" style="2"/>
    <col min="4869" max="4869" width="8.69921875" style="2"/>
    <col min="4873" max="4873" width="8.69921875" style="2"/>
    <col min="4877" max="4877" width="8.69921875" style="2"/>
    <col min="4881" max="4881" width="8.69921875" style="2"/>
    <col min="4885" max="4885" width="8.69921875" style="2"/>
    <col min="4889" max="4889" width="8.69921875" style="2"/>
    <col min="4893" max="4893" width="8.69921875" style="2"/>
    <col min="4897" max="4897" width="8.69921875" style="2"/>
    <col min="4901" max="4901" width="8.69921875" style="2"/>
    <col min="4905" max="4905" width="8.69921875" style="2"/>
    <col min="4909" max="4909" width="8.69921875" style="2"/>
    <col min="4913" max="4913" width="8.69921875" style="2"/>
    <col min="4917" max="4917" width="8.69921875" style="2"/>
    <col min="4921" max="4921" width="8.69921875" style="2"/>
    <col min="4925" max="4925" width="8.69921875" style="2"/>
    <col min="4929" max="4929" width="8.69921875" style="2"/>
    <col min="4933" max="4933" width="8.69921875" style="2"/>
    <col min="4937" max="4937" width="8.69921875" style="2"/>
    <col min="4941" max="4941" width="8.69921875" style="2"/>
    <col min="4945" max="4945" width="8.69921875" style="2"/>
    <col min="4949" max="4949" width="8.69921875" style="2"/>
    <col min="4953" max="4953" width="8.69921875" style="2"/>
    <col min="4957" max="4957" width="8.69921875" style="2"/>
    <col min="4961" max="4961" width="8.69921875" style="2"/>
    <col min="4965" max="4965" width="8.69921875" style="2"/>
    <col min="4969" max="4969" width="8.69921875" style="2"/>
    <col min="4973" max="4973" width="8.69921875" style="2"/>
    <col min="4977" max="4977" width="8.69921875" style="2"/>
    <col min="4981" max="4981" width="8.69921875" style="2"/>
    <col min="4985" max="4985" width="8.69921875" style="2"/>
    <col min="4989" max="4989" width="8.69921875" style="2"/>
    <col min="4993" max="4993" width="8.69921875" style="2"/>
    <col min="4997" max="4997" width="8.69921875" style="2"/>
    <col min="5001" max="5001" width="8.69921875" style="2"/>
    <col min="5005" max="5005" width="8.69921875" style="2"/>
    <col min="5009" max="5009" width="8.69921875" style="2"/>
    <col min="5013" max="5013" width="8.69921875" style="2"/>
    <col min="5017" max="5017" width="8.69921875" style="2"/>
    <col min="5021" max="5021" width="8.69921875" style="2"/>
    <col min="5025" max="5025" width="8.69921875" style="2"/>
    <col min="5029" max="5029" width="8.69921875" style="2"/>
    <col min="5033" max="5033" width="8.69921875" style="2"/>
    <col min="5037" max="5037" width="8.69921875" style="2"/>
    <col min="5041" max="5041" width="8.69921875" style="2"/>
    <col min="5045" max="5045" width="8.69921875" style="2"/>
    <col min="5049" max="5049" width="8.69921875" style="2"/>
    <col min="5053" max="5053" width="8.69921875" style="2"/>
    <col min="5057" max="5057" width="8.69921875" style="2"/>
    <col min="5061" max="5061" width="8.69921875" style="2"/>
    <col min="5065" max="5065" width="8.69921875" style="2"/>
    <col min="5069" max="5069" width="8.69921875" style="2"/>
    <col min="5073" max="5073" width="8.69921875" style="2"/>
    <col min="5077" max="5077" width="8.69921875" style="2"/>
    <col min="5081" max="5081" width="8.69921875" style="2"/>
    <col min="5085" max="5085" width="8.69921875" style="2"/>
    <col min="5089" max="5089" width="8.69921875" style="2"/>
    <col min="5093" max="5093" width="8.69921875" style="2"/>
    <col min="5097" max="5097" width="8.69921875" style="2"/>
    <col min="5101" max="5101" width="8.69921875" style="2"/>
    <col min="5105" max="5105" width="8.69921875" style="2"/>
    <col min="5109" max="5109" width="8.69921875" style="2"/>
    <col min="5113" max="5113" width="8.69921875" style="2"/>
    <col min="5117" max="5117" width="8.69921875" style="2"/>
    <col min="5121" max="5121" width="8.69921875" style="2"/>
    <col min="5125" max="5125" width="8.69921875" style="2"/>
    <col min="5129" max="5129" width="8.69921875" style="2"/>
    <col min="5133" max="5133" width="8.69921875" style="2"/>
    <col min="5137" max="5137" width="8.69921875" style="2"/>
    <col min="5141" max="5141" width="8.69921875" style="2"/>
    <col min="5145" max="5145" width="8.69921875" style="2"/>
    <col min="5149" max="5149" width="8.69921875" style="2"/>
    <col min="5153" max="5153" width="8.69921875" style="2"/>
    <col min="5157" max="5157" width="8.69921875" style="2"/>
    <col min="5161" max="5161" width="8.69921875" style="2"/>
    <col min="5165" max="5165" width="8.69921875" style="2"/>
    <col min="5169" max="5169" width="8.69921875" style="2"/>
    <col min="5173" max="5173" width="8.69921875" style="2"/>
    <col min="5177" max="5177" width="8.69921875" style="2"/>
    <col min="5181" max="5181" width="8.69921875" style="2"/>
    <col min="5185" max="5185" width="8.69921875" style="2"/>
    <col min="5189" max="5189" width="8.69921875" style="2"/>
    <col min="5193" max="5193" width="8.69921875" style="2"/>
    <col min="5197" max="5197" width="8.69921875" style="2"/>
    <col min="5201" max="5201" width="8.69921875" style="2"/>
    <col min="5205" max="5205" width="8.69921875" style="2"/>
    <col min="5209" max="5209" width="8.69921875" style="2"/>
    <col min="5213" max="5213" width="8.69921875" style="2"/>
    <col min="5217" max="5217" width="8.69921875" style="2"/>
    <col min="5221" max="5221" width="8.69921875" style="2"/>
    <col min="5225" max="5225" width="8.69921875" style="2"/>
    <col min="5229" max="5229" width="8.69921875" style="2"/>
    <col min="5233" max="5233" width="8.69921875" style="2"/>
    <col min="5237" max="5237" width="8.69921875" style="2"/>
    <col min="5241" max="5241" width="8.69921875" style="2"/>
    <col min="5245" max="5245" width="8.69921875" style="2"/>
    <col min="5249" max="5249" width="8.69921875" style="2"/>
    <col min="5253" max="5253" width="8.69921875" style="2"/>
    <col min="5257" max="5257" width="8.69921875" style="2"/>
    <col min="5261" max="5261" width="8.69921875" style="2"/>
    <col min="5265" max="5265" width="8.69921875" style="2"/>
    <col min="5269" max="5269" width="8.69921875" style="2"/>
    <col min="5273" max="5273" width="8.69921875" style="2"/>
    <col min="5277" max="5277" width="8.69921875" style="2"/>
    <col min="5281" max="5281" width="8.69921875" style="2"/>
    <col min="5285" max="5285" width="8.69921875" style="2"/>
    <col min="5289" max="5289" width="8.69921875" style="2"/>
    <col min="5293" max="5293" width="8.69921875" style="2"/>
    <col min="5297" max="5297" width="8.69921875" style="2"/>
    <col min="5301" max="5301" width="8.69921875" style="2"/>
    <col min="5305" max="5305" width="8.69921875" style="2"/>
    <col min="5309" max="5309" width="8.69921875" style="2"/>
    <col min="5313" max="5313" width="8.69921875" style="2"/>
    <col min="5317" max="5317" width="8.69921875" style="2"/>
    <col min="5321" max="5321" width="8.69921875" style="2"/>
    <col min="5325" max="5325" width="8.69921875" style="2"/>
    <col min="5329" max="5329" width="8.69921875" style="2"/>
    <col min="5333" max="5333" width="8.69921875" style="2"/>
    <col min="5337" max="5337" width="8.69921875" style="2"/>
    <col min="5341" max="5341" width="8.69921875" style="2"/>
    <col min="5345" max="5345" width="8.69921875" style="2"/>
    <col min="5349" max="5349" width="8.69921875" style="2"/>
    <col min="5353" max="5353" width="8.69921875" style="2"/>
    <col min="5357" max="5357" width="8.69921875" style="2"/>
    <col min="5361" max="5361" width="8.69921875" style="2"/>
    <col min="5365" max="5365" width="8.69921875" style="2"/>
    <col min="5369" max="5369" width="8.69921875" style="2"/>
    <col min="5373" max="5373" width="8.69921875" style="2"/>
    <col min="5377" max="5377" width="8.69921875" style="2"/>
    <col min="5381" max="5381" width="8.69921875" style="2"/>
    <col min="5385" max="5385" width="8.69921875" style="2"/>
    <col min="5389" max="5389" width="8.69921875" style="2"/>
    <col min="5393" max="5393" width="8.69921875" style="2"/>
    <col min="5397" max="5397" width="8.69921875" style="2"/>
    <col min="5401" max="5401" width="8.69921875" style="2"/>
    <col min="5405" max="5405" width="8.69921875" style="2"/>
    <col min="5409" max="5409" width="8.69921875" style="2"/>
    <col min="5413" max="5413" width="8.69921875" style="2"/>
    <col min="5417" max="5417" width="8.69921875" style="2"/>
    <col min="5421" max="5421" width="8.69921875" style="2"/>
    <col min="5425" max="5425" width="8.69921875" style="2"/>
    <col min="5429" max="5429" width="8.69921875" style="2"/>
    <col min="5433" max="5433" width="8.69921875" style="2"/>
    <col min="5437" max="5437" width="8.69921875" style="2"/>
    <col min="5441" max="5441" width="8.69921875" style="2"/>
    <col min="5445" max="5445" width="8.69921875" style="2"/>
    <col min="5449" max="5449" width="8.69921875" style="2"/>
    <col min="5453" max="5453" width="8.69921875" style="2"/>
    <col min="5457" max="5457" width="8.69921875" style="2"/>
    <col min="5461" max="5461" width="8.69921875" style="2"/>
    <col min="5465" max="5465" width="8.69921875" style="2"/>
    <col min="5469" max="5469" width="8.69921875" style="2"/>
    <col min="5473" max="5473" width="8.69921875" style="2"/>
    <col min="5477" max="5477" width="8.69921875" style="2"/>
    <col min="5481" max="5481" width="8.69921875" style="2"/>
    <col min="5485" max="5485" width="8.69921875" style="2"/>
    <col min="5489" max="5489" width="8.69921875" style="2"/>
    <col min="5493" max="5493" width="8.69921875" style="2"/>
    <col min="5497" max="5497" width="8.69921875" style="2"/>
    <col min="5501" max="5501" width="8.69921875" style="2"/>
    <col min="5505" max="5505" width="8.69921875" style="2"/>
    <col min="5509" max="5509" width="8.69921875" style="2"/>
    <col min="5513" max="5513" width="8.69921875" style="2"/>
    <col min="5517" max="5517" width="8.69921875" style="2"/>
    <col min="5521" max="5521" width="8.69921875" style="2"/>
    <col min="5525" max="5525" width="8.69921875" style="2"/>
    <col min="5529" max="5529" width="8.69921875" style="2"/>
    <col min="5533" max="5533" width="8.69921875" style="2"/>
    <col min="5537" max="5537" width="8.69921875" style="2"/>
    <col min="5541" max="5541" width="8.69921875" style="2"/>
    <col min="5545" max="5545" width="8.69921875" style="2"/>
    <col min="5549" max="5549" width="8.69921875" style="2"/>
    <col min="5553" max="5553" width="8.69921875" style="2"/>
    <col min="5557" max="5557" width="8.69921875" style="2"/>
    <col min="5561" max="5561" width="8.69921875" style="2"/>
    <col min="5565" max="5565" width="8.69921875" style="2"/>
    <col min="5569" max="5569" width="8.69921875" style="2"/>
    <col min="5573" max="5573" width="8.69921875" style="2"/>
    <col min="5577" max="5577" width="8.69921875" style="2"/>
    <col min="5581" max="5581" width="8.69921875" style="2"/>
    <col min="5585" max="5585" width="8.69921875" style="2"/>
    <col min="5589" max="5589" width="8.69921875" style="2"/>
    <col min="5593" max="5593" width="8.69921875" style="2"/>
    <col min="5597" max="5597" width="8.69921875" style="2"/>
    <col min="5601" max="5601" width="8.69921875" style="2"/>
    <col min="5605" max="5605" width="8.69921875" style="2"/>
    <col min="5609" max="5609" width="8.69921875" style="2"/>
    <col min="5613" max="5613" width="8.69921875" style="2"/>
    <col min="5617" max="5617" width="8.69921875" style="2"/>
    <col min="5621" max="5621" width="8.69921875" style="2"/>
    <col min="5625" max="5625" width="8.69921875" style="2"/>
    <col min="5629" max="5629" width="8.69921875" style="2"/>
    <col min="5633" max="5633" width="8.69921875" style="2"/>
    <col min="5637" max="5637" width="8.69921875" style="2"/>
    <col min="5641" max="5641" width="8.69921875" style="2"/>
    <col min="5645" max="5645" width="8.69921875" style="2"/>
    <col min="5649" max="5649" width="8.69921875" style="2"/>
    <col min="5653" max="5653" width="8.69921875" style="2"/>
    <col min="5657" max="5657" width="8.69921875" style="2"/>
    <col min="5661" max="5661" width="8.69921875" style="2"/>
    <col min="5665" max="5665" width="8.69921875" style="2"/>
    <col min="5669" max="5669" width="8.69921875" style="2"/>
    <col min="5673" max="5673" width="8.69921875" style="2"/>
    <col min="5677" max="5677" width="8.69921875" style="2"/>
    <col min="5681" max="5681" width="8.69921875" style="2"/>
    <col min="5685" max="5685" width="8.69921875" style="2"/>
    <col min="5689" max="5689" width="8.69921875" style="2"/>
    <col min="5693" max="5693" width="8.69921875" style="2"/>
    <col min="5697" max="5697" width="8.69921875" style="2"/>
    <col min="5701" max="5701" width="8.69921875" style="2"/>
    <col min="5705" max="5705" width="8.69921875" style="2"/>
    <col min="5709" max="5709" width="8.69921875" style="2"/>
    <col min="5713" max="5713" width="8.69921875" style="2"/>
    <col min="5717" max="5717" width="8.69921875" style="2"/>
    <col min="5721" max="5721" width="8.69921875" style="2"/>
    <col min="5725" max="5725" width="8.69921875" style="2"/>
    <col min="5729" max="5729" width="8.69921875" style="2"/>
    <col min="5733" max="5733" width="8.69921875" style="2"/>
    <col min="5737" max="5737" width="8.69921875" style="2"/>
    <col min="5741" max="5741" width="8.69921875" style="2"/>
    <col min="5745" max="5745" width="8.69921875" style="2"/>
    <col min="5749" max="5749" width="8.69921875" style="2"/>
    <col min="5753" max="5753" width="8.69921875" style="2"/>
    <col min="5757" max="5757" width="8.69921875" style="2"/>
    <col min="5761" max="5761" width="8.69921875" style="2"/>
    <col min="5765" max="5765" width="8.69921875" style="2"/>
    <col min="5769" max="5769" width="8.69921875" style="2"/>
    <col min="5773" max="5773" width="8.69921875" style="2"/>
    <col min="5777" max="5777" width="8.69921875" style="2"/>
    <col min="5781" max="5781" width="8.69921875" style="2"/>
    <col min="5785" max="5785" width="8.69921875" style="2"/>
    <col min="5789" max="5789" width="8.69921875" style="2"/>
    <col min="5793" max="5793" width="8.69921875" style="2"/>
    <col min="5797" max="5797" width="8.69921875" style="2"/>
    <col min="5801" max="5801" width="8.69921875" style="2"/>
    <col min="5805" max="5805" width="8.69921875" style="2"/>
    <col min="5809" max="5809" width="8.69921875" style="2"/>
    <col min="5813" max="5813" width="8.69921875" style="2"/>
    <col min="5817" max="5817" width="8.69921875" style="2"/>
    <col min="5821" max="5821" width="8.69921875" style="2"/>
    <col min="5825" max="5825" width="8.69921875" style="2"/>
    <col min="5829" max="5829" width="8.69921875" style="2"/>
    <col min="5833" max="5833" width="8.69921875" style="2"/>
    <col min="5837" max="5837" width="8.69921875" style="2"/>
    <col min="5841" max="5841" width="8.69921875" style="2"/>
    <col min="5845" max="5845" width="8.69921875" style="2"/>
    <col min="5849" max="5849" width="8.69921875" style="2"/>
    <col min="5853" max="5853" width="8.69921875" style="2"/>
    <col min="5857" max="5857" width="8.69921875" style="2"/>
    <col min="5861" max="5861" width="8.69921875" style="2"/>
    <col min="5865" max="5865" width="8.69921875" style="2"/>
    <col min="5869" max="5869" width="8.69921875" style="2"/>
    <col min="5873" max="5873" width="8.69921875" style="2"/>
    <col min="5877" max="5877" width="8.69921875" style="2"/>
    <col min="5881" max="5881" width="8.69921875" style="2"/>
    <col min="5885" max="5885" width="8.69921875" style="2"/>
    <col min="5889" max="5889" width="8.69921875" style="2"/>
    <col min="5893" max="5893" width="8.69921875" style="2"/>
    <col min="5897" max="5897" width="8.69921875" style="2"/>
    <col min="5901" max="5901" width="8.69921875" style="2"/>
    <col min="5905" max="5905" width="8.69921875" style="2"/>
    <col min="5909" max="5909" width="8.69921875" style="2"/>
    <col min="5913" max="5913" width="8.69921875" style="2"/>
    <col min="5917" max="5917" width="8.69921875" style="2"/>
    <col min="5921" max="5921" width="8.69921875" style="2"/>
    <col min="5925" max="5925" width="8.69921875" style="2"/>
    <col min="5929" max="5929" width="8.69921875" style="2"/>
    <col min="5933" max="5933" width="8.69921875" style="2"/>
    <col min="5937" max="5937" width="8.69921875" style="2"/>
    <col min="5941" max="5941" width="8.69921875" style="2"/>
    <col min="5945" max="5945" width="8.69921875" style="2"/>
    <col min="5949" max="5949" width="8.69921875" style="2"/>
    <col min="5953" max="5953" width="8.69921875" style="2"/>
    <col min="5957" max="5957" width="8.69921875" style="2"/>
    <col min="5961" max="5961" width="8.69921875" style="2"/>
    <col min="5965" max="5965" width="8.69921875" style="2"/>
    <col min="5969" max="5969" width="8.69921875" style="2"/>
    <col min="5973" max="5973" width="8.69921875" style="2"/>
    <col min="5977" max="5977" width="8.69921875" style="2"/>
    <col min="5981" max="5981" width="8.69921875" style="2"/>
    <col min="5985" max="5985" width="8.69921875" style="2"/>
    <col min="5989" max="5989" width="8.69921875" style="2"/>
    <col min="5993" max="5993" width="8.69921875" style="2"/>
    <col min="5997" max="5997" width="8.69921875" style="2"/>
    <col min="6001" max="6001" width="8.69921875" style="2"/>
    <col min="6005" max="6005" width="8.69921875" style="2"/>
    <col min="6009" max="6009" width="8.69921875" style="2"/>
    <col min="6013" max="6013" width="8.69921875" style="2"/>
    <col min="6017" max="6017" width="8.69921875" style="2"/>
    <col min="6021" max="6021" width="8.69921875" style="2"/>
    <col min="6025" max="6025" width="8.69921875" style="2"/>
    <col min="6029" max="6029" width="8.69921875" style="2"/>
    <col min="6033" max="6033" width="8.69921875" style="2"/>
    <col min="6037" max="6037" width="8.69921875" style="2"/>
    <col min="6041" max="6041" width="8.69921875" style="2"/>
    <col min="6045" max="6045" width="8.69921875" style="2"/>
    <col min="6049" max="6049" width="8.69921875" style="2"/>
    <col min="6053" max="6053" width="8.69921875" style="2"/>
    <col min="6057" max="6057" width="8.69921875" style="2"/>
    <col min="6061" max="6061" width="8.69921875" style="2"/>
    <col min="6065" max="6065" width="8.69921875" style="2"/>
    <col min="6069" max="6069" width="8.69921875" style="2"/>
    <col min="6073" max="6073" width="8.69921875" style="2"/>
    <col min="6077" max="6077" width="8.69921875" style="2"/>
    <col min="6081" max="6081" width="8.69921875" style="2"/>
    <col min="6085" max="6085" width="8.69921875" style="2"/>
    <col min="6089" max="6089" width="8.69921875" style="2"/>
    <col min="6093" max="6093" width="8.69921875" style="2"/>
    <col min="6097" max="6097" width="8.69921875" style="2"/>
    <col min="6101" max="6101" width="8.69921875" style="2"/>
    <col min="6105" max="6105" width="8.69921875" style="2"/>
    <col min="6109" max="6109" width="8.69921875" style="2"/>
    <col min="6113" max="6113" width="8.69921875" style="2"/>
    <col min="6117" max="6117" width="8.69921875" style="2"/>
    <col min="6121" max="6121" width="8.69921875" style="2"/>
    <col min="6125" max="6125" width="8.69921875" style="2"/>
    <col min="6129" max="6129" width="8.69921875" style="2"/>
    <col min="6133" max="6133" width="8.69921875" style="2"/>
    <col min="6137" max="6137" width="8.69921875" style="2"/>
    <col min="6141" max="6141" width="8.69921875" style="2"/>
    <col min="6145" max="6145" width="8.69921875" style="2"/>
    <col min="6149" max="6149" width="8.69921875" style="2"/>
    <col min="6153" max="6153" width="8.69921875" style="2"/>
    <col min="6157" max="6157" width="8.69921875" style="2"/>
    <col min="6161" max="6161" width="8.69921875" style="2"/>
    <col min="6165" max="6165" width="8.69921875" style="2"/>
    <col min="6169" max="6169" width="8.69921875" style="2"/>
    <col min="6173" max="6173" width="8.69921875" style="2"/>
    <col min="6177" max="6177" width="8.69921875" style="2"/>
    <col min="6181" max="6181" width="8.69921875" style="2"/>
    <col min="6185" max="6185" width="8.69921875" style="2"/>
    <col min="6189" max="6189" width="8.69921875" style="2"/>
    <col min="6193" max="6193" width="8.69921875" style="2"/>
    <col min="6197" max="6197" width="8.69921875" style="2"/>
    <col min="6201" max="6201" width="8.69921875" style="2"/>
    <col min="6205" max="6205" width="8.69921875" style="2"/>
    <col min="6209" max="6209" width="8.69921875" style="2"/>
    <col min="6213" max="6213" width="8.69921875" style="2"/>
    <col min="6217" max="6217" width="8.69921875" style="2"/>
    <col min="6221" max="6221" width="8.69921875" style="2"/>
    <col min="6225" max="6225" width="8.69921875" style="2"/>
    <col min="6229" max="6229" width="8.69921875" style="2"/>
    <col min="6233" max="6233" width="8.69921875" style="2"/>
    <col min="6237" max="6237" width="8.69921875" style="2"/>
    <col min="6241" max="6241" width="8.69921875" style="2"/>
    <col min="6245" max="6245" width="8.69921875" style="2"/>
    <col min="6249" max="6249" width="8.69921875" style="2"/>
    <col min="6253" max="6253" width="8.69921875" style="2"/>
    <col min="6257" max="6257" width="8.69921875" style="2"/>
    <col min="6261" max="6261" width="8.69921875" style="2"/>
    <col min="6265" max="6265" width="8.69921875" style="2"/>
    <col min="6269" max="6269" width="8.69921875" style="2"/>
    <col min="6273" max="6273" width="8.69921875" style="2"/>
    <col min="6277" max="6277" width="8.69921875" style="2"/>
    <col min="6281" max="6281" width="8.69921875" style="2"/>
    <col min="6285" max="6285" width="8.69921875" style="2"/>
    <col min="6289" max="6289" width="8.69921875" style="2"/>
    <col min="6293" max="6293" width="8.69921875" style="2"/>
    <col min="6297" max="6297" width="8.69921875" style="2"/>
    <col min="6301" max="6301" width="8.69921875" style="2"/>
    <col min="6305" max="6305" width="8.69921875" style="2"/>
    <col min="6309" max="6309" width="8.69921875" style="2"/>
    <col min="6313" max="6313" width="8.69921875" style="2"/>
    <col min="6317" max="6317" width="8.69921875" style="2"/>
    <col min="6321" max="6321" width="8.69921875" style="2"/>
    <col min="6325" max="6325" width="8.69921875" style="2"/>
    <col min="6329" max="6329" width="8.69921875" style="2"/>
    <col min="6333" max="6333" width="8.69921875" style="2"/>
    <col min="6337" max="6337" width="8.69921875" style="2"/>
    <col min="6341" max="6341" width="8.69921875" style="2"/>
    <col min="6345" max="6345" width="8.69921875" style="2"/>
    <col min="6349" max="6349" width="8.69921875" style="2"/>
    <col min="6353" max="6353" width="8.69921875" style="2"/>
    <col min="6357" max="6357" width="8.69921875" style="2"/>
    <col min="6361" max="6361" width="8.69921875" style="2"/>
    <col min="6365" max="6365" width="8.69921875" style="2"/>
    <col min="6369" max="6369" width="8.69921875" style="2"/>
    <col min="6373" max="6373" width="8.69921875" style="2"/>
    <col min="6377" max="6377" width="8.69921875" style="2"/>
    <col min="6381" max="6381" width="8.69921875" style="2"/>
    <col min="6385" max="6385" width="8.69921875" style="2"/>
    <col min="6389" max="6389" width="8.69921875" style="2"/>
    <col min="6393" max="6393" width="8.69921875" style="2"/>
    <col min="6397" max="6397" width="8.69921875" style="2"/>
    <col min="6401" max="6401" width="8.69921875" style="2"/>
    <col min="6405" max="6405" width="8.69921875" style="2"/>
    <col min="6409" max="6409" width="8.69921875" style="2"/>
    <col min="6413" max="6413" width="8.69921875" style="2"/>
    <col min="6417" max="6417" width="8.69921875" style="2"/>
    <col min="6421" max="6421" width="8.69921875" style="2"/>
    <col min="6425" max="6425" width="8.69921875" style="2"/>
    <col min="6429" max="6429" width="8.69921875" style="2"/>
    <col min="6433" max="6433" width="8.69921875" style="2"/>
    <col min="6437" max="6437" width="8.69921875" style="2"/>
    <col min="6441" max="6441" width="8.69921875" style="2"/>
    <col min="6445" max="6445" width="8.69921875" style="2"/>
    <col min="6449" max="6449" width="8.69921875" style="2"/>
    <col min="6453" max="6453" width="8.69921875" style="2"/>
    <col min="6457" max="6457" width="8.69921875" style="2"/>
    <col min="6461" max="6461" width="8.69921875" style="2"/>
    <col min="6465" max="6465" width="8.69921875" style="2"/>
    <col min="6469" max="6469" width="8.69921875" style="2"/>
    <col min="6473" max="6473" width="8.69921875" style="2"/>
    <col min="6477" max="6477" width="8.69921875" style="2"/>
    <col min="6481" max="6481" width="8.69921875" style="2"/>
    <col min="6485" max="6485" width="8.69921875" style="2"/>
    <col min="6489" max="6489" width="8.69921875" style="2"/>
    <col min="6493" max="6493" width="8.69921875" style="2"/>
    <col min="6497" max="6497" width="8.69921875" style="2"/>
    <col min="6501" max="6501" width="8.69921875" style="2"/>
    <col min="6505" max="6505" width="8.69921875" style="2"/>
    <col min="6509" max="6509" width="8.69921875" style="2"/>
    <col min="6513" max="6513" width="8.69921875" style="2"/>
    <col min="6517" max="6517" width="8.69921875" style="2"/>
    <col min="6521" max="6521" width="8.69921875" style="2"/>
    <col min="6525" max="6525" width="8.69921875" style="2"/>
    <col min="6529" max="6529" width="8.69921875" style="2"/>
    <col min="6533" max="6533" width="8.69921875" style="2"/>
    <col min="6537" max="6537" width="8.69921875" style="2"/>
    <col min="6541" max="6541" width="8.69921875" style="2"/>
    <col min="6545" max="6545" width="8.69921875" style="2"/>
    <col min="6549" max="6549" width="8.69921875" style="2"/>
    <col min="6553" max="6553" width="8.69921875" style="2"/>
    <col min="6557" max="6557" width="8.69921875" style="2"/>
    <col min="6561" max="6561" width="8.69921875" style="2"/>
    <col min="6565" max="6565" width="8.69921875" style="2"/>
    <col min="6569" max="6569" width="8.69921875" style="2"/>
    <col min="6573" max="6573" width="8.69921875" style="2"/>
    <col min="6577" max="6577" width="8.69921875" style="2"/>
    <col min="6581" max="6581" width="8.69921875" style="2"/>
    <col min="6585" max="6585" width="8.69921875" style="2"/>
    <col min="6589" max="6589" width="8.69921875" style="2"/>
    <col min="6593" max="6593" width="8.69921875" style="2"/>
    <col min="6597" max="6597" width="8.69921875" style="2"/>
    <col min="6601" max="6601" width="8.69921875" style="2"/>
    <col min="6605" max="6605" width="8.69921875" style="2"/>
    <col min="6609" max="6609" width="8.69921875" style="2"/>
    <col min="6613" max="6613" width="8.69921875" style="2"/>
    <col min="6617" max="6617" width="8.69921875" style="2"/>
    <col min="6621" max="6621" width="8.69921875" style="2"/>
    <col min="6625" max="6625" width="8.69921875" style="2"/>
    <col min="6629" max="6629" width="8.69921875" style="2"/>
    <col min="6633" max="6633" width="8.69921875" style="2"/>
    <col min="6637" max="6637" width="8.69921875" style="2"/>
    <col min="6641" max="6641" width="8.69921875" style="2"/>
    <col min="6645" max="6645" width="8.69921875" style="2"/>
    <col min="6649" max="6649" width="8.69921875" style="2"/>
    <col min="6653" max="6653" width="8.69921875" style="2"/>
    <col min="6657" max="6657" width="8.69921875" style="2"/>
    <col min="6661" max="6661" width="8.69921875" style="2"/>
    <col min="6665" max="6665" width="8.69921875" style="2"/>
    <col min="6669" max="6669" width="8.69921875" style="2"/>
    <col min="6673" max="6673" width="8.69921875" style="2"/>
    <col min="6677" max="6677" width="8.69921875" style="2"/>
    <col min="6681" max="6681" width="8.69921875" style="2"/>
    <col min="6685" max="6685" width="8.69921875" style="2"/>
    <col min="6689" max="6689" width="8.69921875" style="2"/>
    <col min="6693" max="6693" width="8.69921875" style="2"/>
    <col min="6697" max="6697" width="8.69921875" style="2"/>
    <col min="6701" max="6701" width="8.69921875" style="2"/>
    <col min="6705" max="6705" width="8.69921875" style="2"/>
    <col min="6709" max="6709" width="8.69921875" style="2"/>
    <col min="6713" max="6713" width="8.69921875" style="2"/>
    <col min="6717" max="6717" width="8.69921875" style="2"/>
    <col min="6721" max="6721" width="8.69921875" style="2"/>
    <col min="6725" max="6725" width="8.69921875" style="2"/>
    <col min="6729" max="6729" width="8.69921875" style="2"/>
    <col min="6733" max="6733" width="8.69921875" style="2"/>
    <col min="6737" max="6737" width="8.69921875" style="2"/>
    <col min="6741" max="6741" width="8.69921875" style="2"/>
    <col min="6745" max="6745" width="8.69921875" style="2"/>
    <col min="6749" max="6749" width="8.69921875" style="2"/>
    <col min="6753" max="6753" width="8.69921875" style="2"/>
    <col min="6757" max="6757" width="8.69921875" style="2"/>
    <col min="6761" max="6761" width="8.69921875" style="2"/>
    <col min="6765" max="6765" width="8.69921875" style="2"/>
    <col min="6769" max="6769" width="8.69921875" style="2"/>
    <col min="6773" max="6773" width="8.69921875" style="2"/>
    <col min="6777" max="6777" width="8.69921875" style="2"/>
    <col min="6781" max="6781" width="8.69921875" style="2"/>
    <col min="6785" max="6785" width="8.69921875" style="2"/>
    <col min="6789" max="6789" width="8.69921875" style="2"/>
    <col min="6793" max="6793" width="8.69921875" style="2"/>
    <col min="6797" max="6797" width="8.69921875" style="2"/>
    <col min="6801" max="6801" width="8.69921875" style="2"/>
    <col min="6805" max="6805" width="8.69921875" style="2"/>
    <col min="6809" max="6809" width="8.69921875" style="2"/>
    <col min="6813" max="6813" width="8.69921875" style="2"/>
    <col min="6817" max="6817" width="8.69921875" style="2"/>
    <col min="6821" max="6821" width="8.69921875" style="2"/>
    <col min="6825" max="6825" width="8.69921875" style="2"/>
    <col min="6829" max="6829" width="8.69921875" style="2"/>
    <col min="6833" max="6833" width="8.69921875" style="2"/>
    <col min="6837" max="6837" width="8.69921875" style="2"/>
    <col min="6841" max="6841" width="8.69921875" style="2"/>
    <col min="6845" max="6845" width="8.69921875" style="2"/>
    <col min="6849" max="6849" width="8.69921875" style="2"/>
    <col min="6853" max="6853" width="8.69921875" style="2"/>
    <col min="6857" max="6857" width="8.69921875" style="2"/>
    <col min="6861" max="6861" width="8.69921875" style="2"/>
    <col min="6865" max="6865" width="8.69921875" style="2"/>
    <col min="6869" max="6869" width="8.69921875" style="2"/>
    <col min="6873" max="6873" width="8.69921875" style="2"/>
    <col min="6877" max="6877" width="8.69921875" style="2"/>
    <col min="6881" max="6881" width="8.69921875" style="2"/>
    <col min="6885" max="6885" width="8.69921875" style="2"/>
    <col min="6889" max="6889" width="8.69921875" style="2"/>
    <col min="6893" max="6893" width="8.69921875" style="2"/>
    <col min="6897" max="6897" width="8.69921875" style="2"/>
    <col min="6901" max="6901" width="8.69921875" style="2"/>
    <col min="6905" max="6905" width="8.69921875" style="2"/>
    <col min="6909" max="6909" width="8.69921875" style="2"/>
    <col min="6913" max="6913" width="8.69921875" style="2"/>
    <col min="6917" max="6917" width="8.69921875" style="2"/>
    <col min="6921" max="6921" width="8.69921875" style="2"/>
    <col min="6925" max="6925" width="8.69921875" style="2"/>
    <col min="6929" max="6929" width="8.69921875" style="2"/>
    <col min="6933" max="6933" width="8.69921875" style="2"/>
    <col min="6937" max="6937" width="8.69921875" style="2"/>
    <col min="6941" max="6941" width="8.69921875" style="2"/>
    <col min="6945" max="6945" width="8.69921875" style="2"/>
    <col min="6949" max="6949" width="8.69921875" style="2"/>
    <col min="6953" max="6953" width="8.69921875" style="2"/>
    <col min="6957" max="6957" width="8.69921875" style="2"/>
    <col min="6961" max="6961" width="8.69921875" style="2"/>
    <col min="6965" max="6965" width="8.69921875" style="2"/>
    <col min="6969" max="6969" width="8.69921875" style="2"/>
    <col min="6973" max="6973" width="8.69921875" style="2"/>
    <col min="6977" max="6977" width="8.69921875" style="2"/>
    <col min="6981" max="6981" width="8.69921875" style="2"/>
    <col min="6985" max="6985" width="8.69921875" style="2"/>
    <col min="6989" max="6989" width="8.69921875" style="2"/>
    <col min="6993" max="6993" width="8.69921875" style="2"/>
    <col min="6997" max="6997" width="8.69921875" style="2"/>
    <col min="7001" max="7001" width="8.69921875" style="2"/>
    <col min="7005" max="7005" width="8.69921875" style="2"/>
    <col min="7009" max="7009" width="8.69921875" style="2"/>
    <col min="7013" max="7013" width="8.69921875" style="2"/>
    <col min="7017" max="7017" width="8.69921875" style="2"/>
    <col min="7021" max="7021" width="8.69921875" style="2"/>
    <col min="7025" max="7025" width="8.69921875" style="2"/>
    <col min="7029" max="7029" width="8.69921875" style="2"/>
    <col min="7033" max="7033" width="8.69921875" style="2"/>
    <col min="7037" max="7037" width="8.69921875" style="2"/>
    <col min="7041" max="7041" width="8.69921875" style="2"/>
    <col min="7045" max="7045" width="8.69921875" style="2"/>
    <col min="7049" max="7049" width="8.69921875" style="2"/>
    <col min="7053" max="7053" width="8.69921875" style="2"/>
    <col min="7057" max="7057" width="8.69921875" style="2"/>
    <col min="7061" max="7061" width="8.69921875" style="2"/>
    <col min="7065" max="7065" width="8.69921875" style="2"/>
    <col min="7069" max="7069" width="8.69921875" style="2"/>
    <col min="7073" max="7073" width="8.69921875" style="2"/>
    <col min="7077" max="7077" width="8.69921875" style="2"/>
    <col min="7081" max="7081" width="8.69921875" style="2"/>
    <col min="7085" max="7085" width="8.69921875" style="2"/>
    <col min="7089" max="7089" width="8.69921875" style="2"/>
    <col min="7093" max="7093" width="8.69921875" style="2"/>
    <col min="7097" max="7097" width="8.69921875" style="2"/>
    <col min="7101" max="7101" width="8.69921875" style="2"/>
    <col min="7105" max="7105" width="8.69921875" style="2"/>
    <col min="7109" max="7109" width="8.69921875" style="2"/>
    <col min="7113" max="7113" width="8.69921875" style="2"/>
    <col min="7117" max="7117" width="8.69921875" style="2"/>
    <col min="7121" max="7121" width="8.69921875" style="2"/>
    <col min="7125" max="7125" width="8.69921875" style="2"/>
    <col min="7129" max="7129" width="8.69921875" style="2"/>
    <col min="7133" max="7133" width="8.69921875" style="2"/>
    <col min="7137" max="7137" width="8.69921875" style="2"/>
    <col min="7141" max="7141" width="8.69921875" style="2"/>
    <col min="7145" max="7145" width="8.69921875" style="2"/>
    <col min="7149" max="7149" width="8.69921875" style="2"/>
    <col min="7153" max="7153" width="8.69921875" style="2"/>
    <col min="7157" max="7157" width="8.69921875" style="2"/>
    <col min="7161" max="7161" width="8.69921875" style="2"/>
    <col min="7165" max="7165" width="8.69921875" style="2"/>
    <col min="7169" max="7169" width="8.69921875" style="2"/>
    <col min="7173" max="7173" width="8.69921875" style="2"/>
    <col min="7177" max="7177" width="8.69921875" style="2"/>
    <col min="7181" max="7181" width="8.69921875" style="2"/>
    <col min="7185" max="7185" width="8.69921875" style="2"/>
    <col min="7189" max="7189" width="8.69921875" style="2"/>
    <col min="7193" max="7193" width="8.69921875" style="2"/>
    <col min="7197" max="7197" width="8.69921875" style="2"/>
    <col min="7201" max="7201" width="8.69921875" style="2"/>
    <col min="7205" max="7205" width="8.69921875" style="2"/>
    <col min="7209" max="7209" width="8.69921875" style="2"/>
    <col min="7213" max="7213" width="8.69921875" style="2"/>
    <col min="7217" max="7217" width="8.69921875" style="2"/>
    <col min="7221" max="7221" width="8.69921875" style="2"/>
    <col min="7225" max="7225" width="8.69921875" style="2"/>
    <col min="7229" max="7229" width="8.69921875" style="2"/>
    <col min="7233" max="7233" width="8.69921875" style="2"/>
    <col min="7237" max="7237" width="8.69921875" style="2"/>
    <col min="7241" max="7241" width="8.69921875" style="2"/>
    <col min="7245" max="7245" width="8.69921875" style="2"/>
    <col min="7249" max="7249" width="8.69921875" style="2"/>
    <col min="7253" max="7253" width="8.69921875" style="2"/>
    <col min="7257" max="7257" width="8.69921875" style="2"/>
    <col min="7261" max="7261" width="8.69921875" style="2"/>
    <col min="7265" max="7265" width="8.69921875" style="2"/>
    <col min="7269" max="7269" width="8.69921875" style="2"/>
    <col min="7273" max="7273" width="8.69921875" style="2"/>
    <col min="7277" max="7277" width="8.69921875" style="2"/>
    <col min="7281" max="7281" width="8.69921875" style="2"/>
    <col min="7285" max="7285" width="8.69921875" style="2"/>
    <col min="7289" max="7289" width="8.69921875" style="2"/>
    <col min="7293" max="7293" width="8.69921875" style="2"/>
    <col min="7297" max="7297" width="8.69921875" style="2"/>
    <col min="7301" max="7301" width="8.69921875" style="2"/>
    <col min="7305" max="7305" width="8.69921875" style="2"/>
    <col min="7309" max="7309" width="8.69921875" style="2"/>
    <col min="7313" max="7313" width="8.69921875" style="2"/>
    <col min="7317" max="7317" width="8.69921875" style="2"/>
    <col min="7321" max="7321" width="8.69921875" style="2"/>
    <col min="7325" max="7325" width="8.69921875" style="2"/>
    <col min="7329" max="7329" width="8.69921875" style="2"/>
    <col min="7333" max="7333" width="8.69921875" style="2"/>
    <col min="7337" max="7337" width="8.69921875" style="2"/>
    <col min="7341" max="7341" width="8.69921875" style="2"/>
    <col min="7345" max="7345" width="8.69921875" style="2"/>
    <col min="7349" max="7349" width="8.69921875" style="2"/>
    <col min="7353" max="7353" width="8.69921875" style="2"/>
    <col min="7357" max="7357" width="8.69921875" style="2"/>
    <col min="7361" max="7361" width="8.69921875" style="2"/>
    <col min="7365" max="7365" width="8.69921875" style="2"/>
    <col min="7369" max="7369" width="8.69921875" style="2"/>
    <col min="7373" max="7373" width="8.69921875" style="2"/>
    <col min="7377" max="7377" width="8.69921875" style="2"/>
    <col min="7381" max="7381" width="8.69921875" style="2"/>
    <col min="7385" max="7385" width="8.69921875" style="2"/>
    <col min="7389" max="7389" width="8.69921875" style="2"/>
    <col min="7393" max="7393" width="8.69921875" style="2"/>
    <col min="7397" max="7397" width="8.69921875" style="2"/>
    <col min="7401" max="7401" width="8.69921875" style="2"/>
    <col min="7405" max="7405" width="8.69921875" style="2"/>
    <col min="7409" max="7409" width="8.69921875" style="2"/>
    <col min="7413" max="7413" width="8.69921875" style="2"/>
    <col min="7417" max="7417" width="8.69921875" style="2"/>
    <col min="7421" max="7421" width="8.69921875" style="2"/>
    <col min="7425" max="7425" width="8.69921875" style="2"/>
    <col min="7429" max="7429" width="8.69921875" style="2"/>
    <col min="7433" max="7433" width="8.69921875" style="2"/>
    <col min="7437" max="7437" width="8.69921875" style="2"/>
    <col min="7441" max="7441" width="8.69921875" style="2"/>
    <col min="7445" max="7445" width="8.69921875" style="2"/>
    <col min="7449" max="7449" width="8.69921875" style="2"/>
    <col min="7453" max="7453" width="8.69921875" style="2"/>
    <col min="7457" max="7457" width="8.69921875" style="2"/>
    <col min="7461" max="7461" width="8.69921875" style="2"/>
    <col min="7465" max="7465" width="8.69921875" style="2"/>
    <col min="7469" max="7469" width="8.69921875" style="2"/>
    <col min="7473" max="7473" width="8.69921875" style="2"/>
    <col min="7477" max="7477" width="8.69921875" style="2"/>
    <col min="7481" max="7481" width="8.69921875" style="2"/>
    <col min="7485" max="7485" width="8.69921875" style="2"/>
    <col min="7489" max="7489" width="8.69921875" style="2"/>
    <col min="7493" max="7493" width="8.69921875" style="2"/>
    <col min="7497" max="7497" width="8.69921875" style="2"/>
    <col min="7501" max="7501" width="8.69921875" style="2"/>
    <col min="7505" max="7505" width="8.69921875" style="2"/>
    <col min="7509" max="7509" width="8.69921875" style="2"/>
    <col min="7513" max="7513" width="8.69921875" style="2"/>
    <col min="7517" max="7517" width="8.69921875" style="2"/>
    <col min="7521" max="7521" width="8.69921875" style="2"/>
    <col min="7525" max="7525" width="8.69921875" style="2"/>
    <col min="7529" max="7529" width="8.69921875" style="2"/>
    <col min="7533" max="7533" width="8.69921875" style="2"/>
    <col min="7537" max="7537" width="8.69921875" style="2"/>
    <col min="7541" max="7541" width="8.69921875" style="2"/>
    <col min="7545" max="7545" width="8.69921875" style="2"/>
    <col min="7549" max="7549" width="8.69921875" style="2"/>
    <col min="7553" max="7553" width="8.69921875" style="2"/>
    <col min="7557" max="7557" width="8.69921875" style="2"/>
    <col min="7561" max="7561" width="8.69921875" style="2"/>
    <col min="7565" max="7565" width="8.69921875" style="2"/>
    <col min="7569" max="7569" width="8.69921875" style="2"/>
    <col min="7573" max="7573" width="8.69921875" style="2"/>
    <col min="7577" max="7577" width="8.69921875" style="2"/>
    <col min="7581" max="7581" width="8.69921875" style="2"/>
    <col min="7585" max="7585" width="8.69921875" style="2"/>
    <col min="7589" max="7589" width="8.69921875" style="2"/>
    <col min="7593" max="7593" width="8.69921875" style="2"/>
    <col min="7597" max="7597" width="8.69921875" style="2"/>
    <col min="7601" max="7601" width="8.69921875" style="2"/>
    <col min="7605" max="7605" width="8.69921875" style="2"/>
    <col min="7609" max="7609" width="8.69921875" style="2"/>
    <col min="7613" max="7613" width="8.69921875" style="2"/>
    <col min="7617" max="7617" width="8.69921875" style="2"/>
    <col min="7621" max="7621" width="8.69921875" style="2"/>
    <col min="7625" max="7625" width="8.69921875" style="2"/>
    <col min="7629" max="7629" width="8.69921875" style="2"/>
    <col min="7633" max="7633" width="8.69921875" style="2"/>
    <col min="7637" max="7637" width="8.69921875" style="2"/>
    <col min="7641" max="7641" width="8.69921875" style="2"/>
    <col min="7645" max="7645" width="8.69921875" style="2"/>
    <col min="7649" max="7649" width="8.69921875" style="2"/>
    <col min="7653" max="7653" width="8.69921875" style="2"/>
    <col min="7657" max="7657" width="8.69921875" style="2"/>
    <col min="7661" max="7661" width="8.69921875" style="2"/>
    <col min="7665" max="7665" width="8.69921875" style="2"/>
    <col min="7669" max="7669" width="8.69921875" style="2"/>
    <col min="7673" max="7673" width="8.69921875" style="2"/>
    <col min="7677" max="7677" width="8.69921875" style="2"/>
    <col min="7681" max="7681" width="8.69921875" style="2"/>
    <col min="7685" max="7685" width="8.69921875" style="2"/>
    <col min="7689" max="7689" width="8.69921875" style="2"/>
    <col min="7693" max="7693" width="8.69921875" style="2"/>
    <col min="7697" max="7697" width="8.69921875" style="2"/>
    <col min="7701" max="7701" width="8.69921875" style="2"/>
    <col min="7705" max="7705" width="8.69921875" style="2"/>
    <col min="7709" max="7709" width="8.69921875" style="2"/>
    <col min="7713" max="7713" width="8.69921875" style="2"/>
    <col min="7717" max="7717" width="8.69921875" style="2"/>
    <col min="7721" max="7721" width="8.69921875" style="2"/>
    <col min="7725" max="7725" width="8.69921875" style="2"/>
    <col min="7729" max="7729" width="8.69921875" style="2"/>
    <col min="7733" max="7733" width="8.69921875" style="2"/>
    <col min="7737" max="7737" width="8.69921875" style="2"/>
    <col min="7741" max="7741" width="8.69921875" style="2"/>
    <col min="7745" max="7745" width="8.69921875" style="2"/>
    <col min="7749" max="7749" width="8.69921875" style="2"/>
    <col min="7753" max="7753" width="8.69921875" style="2"/>
    <col min="7757" max="7757" width="8.69921875" style="2"/>
    <col min="7761" max="7761" width="8.69921875" style="2"/>
    <col min="7765" max="7765" width="8.69921875" style="2"/>
    <col min="7769" max="7769" width="8.69921875" style="2"/>
    <col min="7773" max="7773" width="8.69921875" style="2"/>
    <col min="7777" max="7777" width="8.69921875" style="2"/>
    <col min="7781" max="7781" width="8.69921875" style="2"/>
    <col min="7785" max="7785" width="8.69921875" style="2"/>
    <col min="7789" max="7789" width="8.69921875" style="2"/>
    <col min="7793" max="7793" width="8.69921875" style="2"/>
    <col min="7797" max="7797" width="8.69921875" style="2"/>
    <col min="7801" max="7801" width="8.69921875" style="2"/>
    <col min="7805" max="7805" width="8.69921875" style="2"/>
    <col min="7809" max="7809" width="8.69921875" style="2"/>
    <col min="7813" max="7813" width="8.69921875" style="2"/>
    <col min="7817" max="7817" width="8.69921875" style="2"/>
    <col min="7821" max="7821" width="8.69921875" style="2"/>
    <col min="7825" max="7825" width="8.69921875" style="2"/>
    <col min="7829" max="7829" width="8.69921875" style="2"/>
    <col min="7833" max="7833" width="8.69921875" style="2"/>
    <col min="7837" max="7837" width="8.69921875" style="2"/>
    <col min="7841" max="7841" width="8.69921875" style="2"/>
    <col min="7845" max="7845" width="8.69921875" style="2"/>
    <col min="7849" max="7849" width="8.69921875" style="2"/>
    <col min="7853" max="7853" width="8.69921875" style="2"/>
    <col min="7857" max="7857" width="8.69921875" style="2"/>
    <col min="7861" max="7861" width="8.69921875" style="2"/>
    <col min="7865" max="7865" width="8.69921875" style="2"/>
    <col min="7869" max="7869" width="8.69921875" style="2"/>
    <col min="7873" max="7873" width="8.69921875" style="2"/>
    <col min="7877" max="7877" width="8.69921875" style="2"/>
    <col min="7881" max="7881" width="8.69921875" style="2"/>
    <col min="7885" max="7885" width="8.69921875" style="2"/>
    <col min="7889" max="7889" width="8.69921875" style="2"/>
    <col min="7893" max="7893" width="8.69921875" style="2"/>
    <col min="7897" max="7897" width="8.69921875" style="2"/>
    <col min="7901" max="7901" width="8.69921875" style="2"/>
    <col min="7905" max="7905" width="8.69921875" style="2"/>
    <col min="7909" max="7909" width="8.69921875" style="2"/>
    <col min="7913" max="7913" width="8.69921875" style="2"/>
    <col min="7917" max="7917" width="8.69921875" style="2"/>
    <col min="7921" max="7921" width="8.69921875" style="2"/>
    <col min="7925" max="7925" width="8.69921875" style="2"/>
    <col min="7929" max="7929" width="8.69921875" style="2"/>
    <col min="7933" max="7933" width="8.69921875" style="2"/>
    <col min="7937" max="7937" width="8.69921875" style="2"/>
    <col min="7941" max="7941" width="8.69921875" style="2"/>
    <col min="7945" max="7945" width="8.69921875" style="2"/>
    <col min="7949" max="7949" width="8.69921875" style="2"/>
    <col min="7953" max="7953" width="8.69921875" style="2"/>
    <col min="7957" max="7957" width="8.69921875" style="2"/>
    <col min="7961" max="7961" width="8.69921875" style="2"/>
    <col min="7965" max="7965" width="8.69921875" style="2"/>
    <col min="7969" max="7969" width="8.69921875" style="2"/>
    <col min="7973" max="7973" width="8.69921875" style="2"/>
    <col min="7977" max="7977" width="8.69921875" style="2"/>
    <col min="7981" max="7981" width="8.69921875" style="2"/>
    <col min="7985" max="7985" width="8.69921875" style="2"/>
    <col min="7989" max="7989" width="8.69921875" style="2"/>
    <col min="7993" max="7993" width="8.69921875" style="2"/>
    <col min="7997" max="7997" width="8.69921875" style="2"/>
    <col min="8001" max="8001" width="8.69921875" style="2"/>
    <col min="8005" max="8005" width="8.69921875" style="2"/>
    <col min="8009" max="8009" width="8.69921875" style="2"/>
    <col min="8013" max="8013" width="8.69921875" style="2"/>
    <col min="8017" max="8017" width="8.69921875" style="2"/>
    <col min="8021" max="8021" width="8.69921875" style="2"/>
    <col min="8025" max="8025" width="8.69921875" style="2"/>
    <col min="8029" max="8029" width="8.69921875" style="2"/>
    <col min="8033" max="8033" width="8.69921875" style="2"/>
    <col min="8037" max="8037" width="8.69921875" style="2"/>
    <col min="8041" max="8041" width="8.69921875" style="2"/>
    <col min="8045" max="8045" width="8.69921875" style="2"/>
    <col min="8049" max="8049" width="8.69921875" style="2"/>
    <col min="8053" max="8053" width="8.69921875" style="2"/>
    <col min="8057" max="8057" width="8.69921875" style="2"/>
    <col min="8061" max="8061" width="8.69921875" style="2"/>
    <col min="8065" max="8065" width="8.69921875" style="2"/>
    <col min="8069" max="8069" width="8.69921875" style="2"/>
    <col min="8073" max="8073" width="8.69921875" style="2"/>
    <col min="8077" max="8077" width="8.69921875" style="2"/>
    <col min="8081" max="8081" width="8.69921875" style="2"/>
    <col min="8085" max="8085" width="8.69921875" style="2"/>
    <col min="8089" max="8089" width="8.69921875" style="2"/>
    <col min="8093" max="8093" width="8.69921875" style="2"/>
    <col min="8097" max="8097" width="8.69921875" style="2"/>
    <col min="8101" max="8101" width="8.69921875" style="2"/>
    <col min="8105" max="8105" width="8.69921875" style="2"/>
    <col min="8109" max="8109" width="8.69921875" style="2"/>
    <col min="8113" max="8113" width="8.69921875" style="2"/>
    <col min="8117" max="8117" width="8.69921875" style="2"/>
    <col min="8121" max="8121" width="8.69921875" style="2"/>
    <col min="8125" max="8125" width="8.69921875" style="2"/>
    <col min="8129" max="8129" width="8.69921875" style="2"/>
    <col min="8133" max="8133" width="8.69921875" style="2"/>
    <col min="8137" max="8137" width="8.69921875" style="2"/>
    <col min="8141" max="8141" width="8.69921875" style="2"/>
    <col min="8145" max="8145" width="8.69921875" style="2"/>
    <col min="8149" max="8149" width="8.69921875" style="2"/>
    <col min="8153" max="8153" width="8.69921875" style="2"/>
    <col min="8157" max="8157" width="8.69921875" style="2"/>
    <col min="8161" max="8161" width="8.69921875" style="2"/>
    <col min="8165" max="8165" width="8.69921875" style="2"/>
    <col min="8169" max="8169" width="8.69921875" style="2"/>
    <col min="8173" max="8173" width="8.69921875" style="2"/>
    <col min="8177" max="8177" width="8.69921875" style="2"/>
    <col min="8181" max="8181" width="8.69921875" style="2"/>
    <col min="8185" max="8185" width="8.69921875" style="2"/>
    <col min="8189" max="8189" width="8.69921875" style="2"/>
    <col min="8193" max="8193" width="8.69921875" style="2"/>
    <col min="8197" max="8197" width="8.69921875" style="2"/>
    <col min="8201" max="8201" width="8.69921875" style="2"/>
    <col min="8205" max="8205" width="8.69921875" style="2"/>
    <col min="8209" max="8209" width="8.69921875" style="2"/>
    <col min="8213" max="8213" width="8.69921875" style="2"/>
    <col min="8217" max="8217" width="8.69921875" style="2"/>
    <col min="8221" max="8221" width="8.69921875" style="2"/>
    <col min="8225" max="8225" width="8.69921875" style="2"/>
    <col min="8229" max="8229" width="8.69921875" style="2"/>
    <col min="8233" max="8233" width="8.69921875" style="2"/>
    <col min="8237" max="8237" width="8.69921875" style="2"/>
    <col min="8241" max="8241" width="8.69921875" style="2"/>
    <col min="8245" max="8245" width="8.69921875" style="2"/>
    <col min="8249" max="8249" width="8.69921875" style="2"/>
    <col min="8253" max="8253" width="8.69921875" style="2"/>
    <col min="8257" max="8257" width="8.69921875" style="2"/>
    <col min="8261" max="8261" width="8.69921875" style="2"/>
    <col min="8265" max="8265" width="8.69921875" style="2"/>
    <col min="8269" max="8269" width="8.69921875" style="2"/>
    <col min="8273" max="8273" width="8.69921875" style="2"/>
    <col min="8277" max="8277" width="8.69921875" style="2"/>
    <col min="8281" max="8281" width="8.69921875" style="2"/>
    <col min="8285" max="8285" width="8.69921875" style="2"/>
    <col min="8289" max="8289" width="8.69921875" style="2"/>
    <col min="8293" max="8293" width="8.69921875" style="2"/>
    <col min="8297" max="8297" width="8.69921875" style="2"/>
    <col min="8301" max="8301" width="8.69921875" style="2"/>
    <col min="8305" max="8305" width="8.69921875" style="2"/>
    <col min="8309" max="8309" width="8.69921875" style="2"/>
    <col min="8313" max="8313" width="8.69921875" style="2"/>
    <col min="8317" max="8317" width="8.69921875" style="2"/>
    <col min="8321" max="8321" width="8.69921875" style="2"/>
    <col min="8325" max="8325" width="8.69921875" style="2"/>
    <col min="8329" max="8329" width="8.69921875" style="2"/>
    <col min="8333" max="8333" width="8.69921875" style="2"/>
    <col min="8337" max="8337" width="8.69921875" style="2"/>
    <col min="8341" max="8341" width="8.69921875" style="2"/>
    <col min="8345" max="8345" width="8.69921875" style="2"/>
    <col min="8349" max="8349" width="8.69921875" style="2"/>
    <col min="8353" max="8353" width="8.69921875" style="2"/>
    <col min="8357" max="8357" width="8.69921875" style="2"/>
    <col min="8361" max="8361" width="8.69921875" style="2"/>
    <col min="8365" max="8365" width="8.69921875" style="2"/>
    <col min="8369" max="8369" width="8.69921875" style="2"/>
    <col min="8373" max="8373" width="8.69921875" style="2"/>
    <col min="8377" max="8377" width="8.69921875" style="2"/>
    <col min="8381" max="8381" width="8.69921875" style="2"/>
    <col min="8385" max="8385" width="8.69921875" style="2"/>
    <col min="8389" max="8389" width="8.69921875" style="2"/>
    <col min="8393" max="8393" width="8.69921875" style="2"/>
    <col min="8397" max="8397" width="8.69921875" style="2"/>
    <col min="8401" max="8401" width="8.69921875" style="2"/>
    <col min="8405" max="8405" width="8.69921875" style="2"/>
    <col min="8409" max="8409" width="8.69921875" style="2"/>
    <col min="8413" max="8413" width="8.69921875" style="2"/>
    <col min="8417" max="8417" width="8.69921875" style="2"/>
    <col min="8421" max="8421" width="8.69921875" style="2"/>
    <col min="8425" max="8425" width="8.69921875" style="2"/>
    <col min="8429" max="8429" width="8.69921875" style="2"/>
    <col min="8433" max="8433" width="8.69921875" style="2"/>
    <col min="8437" max="8437" width="8.69921875" style="2"/>
    <col min="8441" max="8441" width="8.69921875" style="2"/>
    <col min="8445" max="8445" width="8.69921875" style="2"/>
    <col min="8449" max="8449" width="8.69921875" style="2"/>
    <col min="8453" max="8453" width="8.69921875" style="2"/>
    <col min="8457" max="8457" width="8.69921875" style="2"/>
    <col min="8461" max="8461" width="8.69921875" style="2"/>
    <col min="8465" max="8465" width="8.69921875" style="2"/>
    <col min="8469" max="8469" width="8.69921875" style="2"/>
    <col min="8473" max="8473" width="8.69921875" style="2"/>
    <col min="8477" max="8477" width="8.69921875" style="2"/>
    <col min="8481" max="8481" width="8.69921875" style="2"/>
    <col min="8485" max="8485" width="8.69921875" style="2"/>
    <col min="8489" max="8489" width="8.69921875" style="2"/>
    <col min="8493" max="8493" width="8.69921875" style="2"/>
    <col min="8497" max="8497" width="8.69921875" style="2"/>
    <col min="8501" max="8501" width="8.69921875" style="2"/>
    <col min="8505" max="8505" width="8.69921875" style="2"/>
    <col min="8509" max="8509" width="8.69921875" style="2"/>
    <col min="8513" max="8513" width="8.69921875" style="2"/>
    <col min="8517" max="8517" width="8.69921875" style="2"/>
    <col min="8521" max="8521" width="8.69921875" style="2"/>
    <col min="8525" max="8525" width="8.69921875" style="2"/>
    <col min="8529" max="8529" width="8.69921875" style="2"/>
    <col min="8533" max="8533" width="8.69921875" style="2"/>
    <col min="8537" max="8537" width="8.69921875" style="2"/>
    <col min="8541" max="8541" width="8.69921875" style="2"/>
    <col min="8545" max="8545" width="8.69921875" style="2"/>
    <col min="8549" max="8549" width="8.69921875" style="2"/>
    <col min="8553" max="8553" width="8.69921875" style="2"/>
    <col min="8557" max="8557" width="8.69921875" style="2"/>
    <col min="8561" max="8561" width="8.69921875" style="2"/>
    <col min="8565" max="8565" width="8.69921875" style="2"/>
    <col min="8569" max="8569" width="8.69921875" style="2"/>
    <col min="8573" max="8573" width="8.69921875" style="2"/>
    <col min="8577" max="8577" width="8.69921875" style="2"/>
    <col min="8581" max="8581" width="8.69921875" style="2"/>
    <col min="8585" max="8585" width="8.69921875" style="2"/>
    <col min="8589" max="8589" width="8.69921875" style="2"/>
    <col min="8593" max="8593" width="8.69921875" style="2"/>
    <col min="8597" max="8597" width="8.69921875" style="2"/>
    <col min="8601" max="8601" width="8.69921875" style="2"/>
    <col min="8605" max="8605" width="8.69921875" style="2"/>
    <col min="8609" max="8609" width="8.69921875" style="2"/>
    <col min="8613" max="8613" width="8.69921875" style="2"/>
    <col min="8617" max="8617" width="8.69921875" style="2"/>
    <col min="8621" max="8621" width="8.69921875" style="2"/>
    <col min="8625" max="8625" width="8.69921875" style="2"/>
    <col min="8629" max="8629" width="8.69921875" style="2"/>
    <col min="8633" max="8633" width="8.69921875" style="2"/>
    <col min="8637" max="8637" width="8.69921875" style="2"/>
    <col min="8641" max="8641" width="8.69921875" style="2"/>
    <col min="8645" max="8645" width="8.69921875" style="2"/>
    <col min="8649" max="8649" width="8.69921875" style="2"/>
    <col min="8653" max="8653" width="8.69921875" style="2"/>
    <col min="8657" max="8657" width="8.69921875" style="2"/>
    <col min="8661" max="8661" width="8.69921875" style="2"/>
    <col min="8665" max="8665" width="8.69921875" style="2"/>
    <col min="8669" max="8669" width="8.69921875" style="2"/>
    <col min="8673" max="8673" width="8.69921875" style="2"/>
    <col min="8677" max="8677" width="8.69921875" style="2"/>
    <col min="8681" max="8681" width="8.69921875" style="2"/>
    <col min="8685" max="8685" width="8.69921875" style="2"/>
    <col min="8689" max="8689" width="8.69921875" style="2"/>
    <col min="8693" max="8693" width="8.69921875" style="2"/>
    <col min="8697" max="8697" width="8.69921875" style="2"/>
    <col min="8701" max="8701" width="8.69921875" style="2"/>
    <col min="8705" max="8705" width="8.69921875" style="2"/>
    <col min="8709" max="8709" width="8.69921875" style="2"/>
    <col min="8713" max="8713" width="8.69921875" style="2"/>
    <col min="8717" max="8717" width="8.69921875" style="2"/>
    <col min="8721" max="8721" width="8.69921875" style="2"/>
    <col min="8725" max="8725" width="8.69921875" style="2"/>
    <col min="8729" max="8729" width="8.69921875" style="2"/>
    <col min="8733" max="8733" width="8.69921875" style="2"/>
    <col min="8737" max="8737" width="8.69921875" style="2"/>
    <col min="8741" max="8741" width="8.69921875" style="2"/>
    <col min="8745" max="8745" width="8.69921875" style="2"/>
    <col min="8749" max="8749" width="8.69921875" style="2"/>
    <col min="8753" max="8753" width="8.69921875" style="2"/>
    <col min="8757" max="8757" width="8.69921875" style="2"/>
    <col min="8761" max="8761" width="8.69921875" style="2"/>
    <col min="8765" max="8765" width="8.69921875" style="2"/>
    <col min="8769" max="8769" width="8.69921875" style="2"/>
    <col min="8773" max="8773" width="8.69921875" style="2"/>
    <col min="8777" max="8777" width="8.69921875" style="2"/>
    <col min="8781" max="8781" width="8.69921875" style="2"/>
    <col min="8785" max="8785" width="8.69921875" style="2"/>
    <col min="8789" max="8789" width="8.69921875" style="2"/>
    <col min="8793" max="8793" width="8.69921875" style="2"/>
    <col min="8797" max="8797" width="8.69921875" style="2"/>
    <col min="8801" max="8801" width="8.69921875" style="2"/>
    <col min="8805" max="8805" width="8.69921875" style="2"/>
    <col min="8809" max="8809" width="8.69921875" style="2"/>
    <col min="8813" max="8813" width="8.69921875" style="2"/>
    <col min="8817" max="8817" width="8.69921875" style="2"/>
    <col min="8821" max="8821" width="8.69921875" style="2"/>
    <col min="8825" max="8825" width="8.69921875" style="2"/>
    <col min="8829" max="8829" width="8.69921875" style="2"/>
    <col min="8833" max="8833" width="8.69921875" style="2"/>
    <col min="8837" max="8837" width="8.69921875" style="2"/>
    <col min="8841" max="8841" width="8.69921875" style="2"/>
    <col min="8845" max="8845" width="8.69921875" style="2"/>
    <col min="8849" max="8849" width="8.69921875" style="2"/>
    <col min="8853" max="8853" width="8.69921875" style="2"/>
    <col min="8857" max="8857" width="8.69921875" style="2"/>
    <col min="8861" max="8861" width="8.69921875" style="2"/>
    <col min="8865" max="8865" width="8.69921875" style="2"/>
    <col min="8869" max="8869" width="8.69921875" style="2"/>
    <col min="8873" max="8873" width="8.69921875" style="2"/>
    <col min="8877" max="8877" width="8.69921875" style="2"/>
    <col min="8881" max="8881" width="8.69921875" style="2"/>
    <col min="8885" max="8885" width="8.69921875" style="2"/>
    <col min="8889" max="8889" width="8.69921875" style="2"/>
    <col min="8893" max="8893" width="8.69921875" style="2"/>
    <col min="8897" max="8897" width="8.69921875" style="2"/>
    <col min="8901" max="8901" width="8.69921875" style="2"/>
    <col min="8905" max="8905" width="8.69921875" style="2"/>
    <col min="8909" max="8909" width="8.69921875" style="2"/>
    <col min="8913" max="8913" width="8.69921875" style="2"/>
    <col min="8917" max="8917" width="8.69921875" style="2"/>
    <col min="8921" max="8921" width="8.69921875" style="2"/>
    <col min="8925" max="8925" width="8.69921875" style="2"/>
    <col min="8929" max="8929" width="8.69921875" style="2"/>
    <col min="8933" max="8933" width="8.69921875" style="2"/>
    <col min="8937" max="8937" width="8.69921875" style="2"/>
    <col min="8941" max="8941" width="8.69921875" style="2"/>
    <col min="8945" max="8945" width="8.69921875" style="2"/>
    <col min="8949" max="8949" width="8.69921875" style="2"/>
    <col min="8953" max="8953" width="8.69921875" style="2"/>
    <col min="8957" max="8957" width="8.69921875" style="2"/>
    <col min="8961" max="8961" width="8.69921875" style="2"/>
    <col min="8965" max="8965" width="8.69921875" style="2"/>
    <col min="8969" max="8969" width="8.69921875" style="2"/>
    <col min="8973" max="8973" width="8.69921875" style="2"/>
    <col min="8977" max="8977" width="8.69921875" style="2"/>
    <col min="8981" max="8981" width="8.69921875" style="2"/>
    <col min="8985" max="8985" width="8.69921875" style="2"/>
    <col min="8989" max="8989" width="8.69921875" style="2"/>
    <col min="8993" max="8993" width="8.69921875" style="2"/>
    <col min="8997" max="8997" width="8.69921875" style="2"/>
    <col min="9001" max="9001" width="8.69921875" style="2"/>
    <col min="9005" max="9005" width="8.69921875" style="2"/>
    <col min="9009" max="9009" width="8.69921875" style="2"/>
    <col min="9013" max="9013" width="8.69921875" style="2"/>
    <col min="9017" max="9017" width="8.69921875" style="2"/>
    <col min="9021" max="9021" width="8.69921875" style="2"/>
    <col min="9025" max="9025" width="8.69921875" style="2"/>
    <col min="9029" max="9029" width="8.69921875" style="2"/>
    <col min="9033" max="9033" width="8.69921875" style="2"/>
    <col min="9037" max="9037" width="8.69921875" style="2"/>
    <col min="9041" max="9041" width="8.69921875" style="2"/>
    <col min="9045" max="9045" width="8.69921875" style="2"/>
    <col min="9049" max="9049" width="8.69921875" style="2"/>
    <col min="9053" max="9053" width="8.69921875" style="2"/>
    <col min="9057" max="9057" width="8.69921875" style="2"/>
    <col min="9061" max="9061" width="8.69921875" style="2"/>
    <col min="9065" max="9065" width="8.69921875" style="2"/>
    <col min="9069" max="9069" width="8.69921875" style="2"/>
    <col min="9073" max="9073" width="8.69921875" style="2"/>
    <col min="9077" max="9077" width="8.69921875" style="2"/>
    <col min="9081" max="9081" width="8.69921875" style="2"/>
    <col min="9085" max="9085" width="8.69921875" style="2"/>
    <col min="9089" max="9089" width="8.69921875" style="2"/>
    <col min="9093" max="9093" width="8.69921875" style="2"/>
    <col min="9097" max="9097" width="8.69921875" style="2"/>
    <col min="9101" max="9101" width="8.69921875" style="2"/>
    <col min="9105" max="9105" width="8.69921875" style="2"/>
    <col min="9109" max="9109" width="8.69921875" style="2"/>
    <col min="9113" max="9113" width="8.69921875" style="2"/>
    <col min="9117" max="9117" width="8.69921875" style="2"/>
    <col min="9121" max="9121" width="8.69921875" style="2"/>
    <col min="9125" max="9125" width="8.69921875" style="2"/>
    <col min="9129" max="9129" width="8.69921875" style="2"/>
    <col min="9133" max="9133" width="8.69921875" style="2"/>
    <col min="9137" max="9137" width="8.69921875" style="2"/>
    <col min="9141" max="9141" width="8.69921875" style="2"/>
    <col min="9145" max="9145" width="8.69921875" style="2"/>
    <col min="9149" max="9149" width="8.69921875" style="2"/>
    <col min="9153" max="9153" width="8.69921875" style="2"/>
    <col min="9157" max="9157" width="8.69921875" style="2"/>
    <col min="9161" max="9161" width="8.69921875" style="2"/>
    <col min="9165" max="9165" width="8.69921875" style="2"/>
    <col min="9169" max="9169" width="8.69921875" style="2"/>
    <col min="9173" max="9173" width="8.69921875" style="2"/>
    <col min="9177" max="9177" width="8.69921875" style="2"/>
    <col min="9181" max="9181" width="8.69921875" style="2"/>
    <col min="9185" max="9185" width="8.69921875" style="2"/>
    <col min="9189" max="9189" width="8.69921875" style="2"/>
    <col min="9193" max="9193" width="8.69921875" style="2"/>
    <col min="9197" max="9197" width="8.69921875" style="2"/>
    <col min="9201" max="9201" width="8.69921875" style="2"/>
    <col min="9205" max="9205" width="8.69921875" style="2"/>
    <col min="9209" max="9209" width="8.69921875" style="2"/>
    <col min="9213" max="9213" width="8.69921875" style="2"/>
    <col min="9217" max="9217" width="8.69921875" style="2"/>
    <col min="9221" max="9221" width="8.69921875" style="2"/>
    <col min="9225" max="9225" width="8.69921875" style="2"/>
    <col min="9229" max="9229" width="8.69921875" style="2"/>
    <col min="9233" max="9233" width="8.69921875" style="2"/>
    <col min="9237" max="9237" width="8.69921875" style="2"/>
    <col min="9241" max="9241" width="8.69921875" style="2"/>
    <col min="9245" max="9245" width="8.69921875" style="2"/>
    <col min="9249" max="9249" width="8.69921875" style="2"/>
    <col min="9253" max="9253" width="8.69921875" style="2"/>
    <col min="9257" max="9257" width="8.69921875" style="2"/>
    <col min="9261" max="9261" width="8.69921875" style="2"/>
    <col min="9265" max="9265" width="8.69921875" style="2"/>
    <col min="9269" max="9269" width="8.69921875" style="2"/>
    <col min="9273" max="9273" width="8.69921875" style="2"/>
    <col min="9277" max="9277" width="8.69921875" style="2"/>
    <col min="9281" max="9281" width="8.69921875" style="2"/>
    <col min="9285" max="9285" width="8.69921875" style="2"/>
    <col min="9289" max="9289" width="8.69921875" style="2"/>
    <col min="9293" max="9293" width="8.69921875" style="2"/>
    <col min="9297" max="9297" width="8.69921875" style="2"/>
    <col min="9301" max="9301" width="8.69921875" style="2"/>
    <col min="9305" max="9305" width="8.69921875" style="2"/>
    <col min="9309" max="9309" width="8.69921875" style="2"/>
    <col min="9313" max="9313" width="8.69921875" style="2"/>
    <col min="9317" max="9317" width="8.69921875" style="2"/>
    <col min="9321" max="9321" width="8.69921875" style="2"/>
    <col min="9325" max="9325" width="8.69921875" style="2"/>
    <col min="9329" max="9329" width="8.69921875" style="2"/>
    <col min="9333" max="9333" width="8.69921875" style="2"/>
    <col min="9337" max="9337" width="8.69921875" style="2"/>
    <col min="9341" max="9341" width="8.69921875" style="2"/>
    <col min="9345" max="9345" width="8.69921875" style="2"/>
    <col min="9349" max="9349" width="8.69921875" style="2"/>
    <col min="9353" max="9353" width="8.69921875" style="2"/>
    <col min="9357" max="9357" width="8.69921875" style="2"/>
    <col min="9361" max="9361" width="8.69921875" style="2"/>
    <col min="9365" max="9365" width="8.69921875" style="2"/>
    <col min="9369" max="9369" width="8.69921875" style="2"/>
    <col min="9373" max="9373" width="8.69921875" style="2"/>
    <col min="9377" max="9377" width="8.69921875" style="2"/>
    <col min="9381" max="9381" width="8.69921875" style="2"/>
    <col min="9385" max="9385" width="8.69921875" style="2"/>
    <col min="9389" max="9389" width="8.69921875" style="2"/>
    <col min="9393" max="9393" width="8.69921875" style="2"/>
    <col min="9397" max="9397" width="8.69921875" style="2"/>
    <col min="9401" max="9401" width="8.69921875" style="2"/>
    <col min="9405" max="9405" width="8.69921875" style="2"/>
    <col min="9409" max="9409" width="8.69921875" style="2"/>
    <col min="9413" max="9413" width="8.69921875" style="2"/>
    <col min="9417" max="9417" width="8.69921875" style="2"/>
    <col min="9421" max="9421" width="8.69921875" style="2"/>
    <col min="9425" max="9425" width="8.69921875" style="2"/>
    <col min="9429" max="9429" width="8.69921875" style="2"/>
    <col min="9433" max="9433" width="8.69921875" style="2"/>
    <col min="9437" max="9437" width="8.69921875" style="2"/>
    <col min="9441" max="9441" width="8.69921875" style="2"/>
    <col min="9445" max="9445" width="8.69921875" style="2"/>
    <col min="9449" max="9449" width="8.69921875" style="2"/>
    <col min="9453" max="9453" width="8.69921875" style="2"/>
    <col min="9457" max="9457" width="8.69921875" style="2"/>
    <col min="9461" max="9461" width="8.69921875" style="2"/>
    <col min="9465" max="9465" width="8.69921875" style="2"/>
    <col min="9469" max="9469" width="8.69921875" style="2"/>
    <col min="9473" max="9473" width="8.69921875" style="2"/>
    <col min="9477" max="9477" width="8.69921875" style="2"/>
    <col min="9481" max="9481" width="8.69921875" style="2"/>
    <col min="9485" max="9485" width="8.69921875" style="2"/>
    <col min="9489" max="9489" width="8.69921875" style="2"/>
    <col min="9493" max="9493" width="8.69921875" style="2"/>
    <col min="9497" max="9497" width="8.69921875" style="2"/>
    <col min="9501" max="9501" width="8.69921875" style="2"/>
    <col min="9505" max="9505" width="8.69921875" style="2"/>
    <col min="9509" max="9509" width="8.69921875" style="2"/>
    <col min="9513" max="9513" width="8.69921875" style="2"/>
    <col min="9517" max="9517" width="8.69921875" style="2"/>
    <col min="9521" max="9521" width="8.69921875" style="2"/>
    <col min="9525" max="9525" width="8.69921875" style="2"/>
    <col min="9529" max="9529" width="8.69921875" style="2"/>
    <col min="9533" max="9533" width="8.69921875" style="2"/>
    <col min="9537" max="9537" width="8.69921875" style="2"/>
    <col min="9541" max="9541" width="8.69921875" style="2"/>
    <col min="9545" max="9545" width="8.69921875" style="2"/>
    <col min="9549" max="9549" width="8.69921875" style="2"/>
    <col min="9553" max="9553" width="8.69921875" style="2"/>
    <col min="9557" max="9557" width="8.69921875" style="2"/>
    <col min="9561" max="9561" width="8.69921875" style="2"/>
    <col min="9565" max="9565" width="8.69921875" style="2"/>
    <col min="9569" max="9569" width="8.69921875" style="2"/>
    <col min="9573" max="9573" width="8.69921875" style="2"/>
    <col min="9577" max="9577" width="8.69921875" style="2"/>
    <col min="9581" max="9581" width="8.69921875" style="2"/>
    <col min="9585" max="9585" width="8.69921875" style="2"/>
    <col min="9589" max="9589" width="8.69921875" style="2"/>
    <col min="9593" max="9593" width="8.69921875" style="2"/>
    <col min="9597" max="9597" width="8.69921875" style="2"/>
    <col min="9601" max="9601" width="8.69921875" style="2"/>
    <col min="9605" max="9605" width="8.69921875" style="2"/>
    <col min="9609" max="9609" width="8.69921875" style="2"/>
    <col min="9613" max="9613" width="8.69921875" style="2"/>
    <col min="9617" max="9617" width="8.69921875" style="2"/>
    <col min="9621" max="9621" width="8.69921875" style="2"/>
    <col min="9625" max="9625" width="8.69921875" style="2"/>
    <col min="9629" max="9629" width="8.69921875" style="2"/>
    <col min="9633" max="9633" width="8.69921875" style="2"/>
    <col min="9637" max="9637" width="8.69921875" style="2"/>
    <col min="9641" max="9641" width="8.69921875" style="2"/>
    <col min="9645" max="9645" width="8.69921875" style="2"/>
    <col min="9649" max="9649" width="8.69921875" style="2"/>
    <col min="9653" max="9653" width="8.69921875" style="2"/>
    <col min="9657" max="9657" width="8.69921875" style="2"/>
    <col min="9661" max="9661" width="8.69921875" style="2"/>
    <col min="9665" max="9665" width="8.69921875" style="2"/>
    <col min="9669" max="9669" width="8.69921875" style="2"/>
    <col min="9673" max="9673" width="8.69921875" style="2"/>
    <col min="9677" max="9677" width="8.69921875" style="2"/>
    <col min="9681" max="9681" width="8.69921875" style="2"/>
    <col min="9685" max="9685" width="8.69921875" style="2"/>
    <col min="9689" max="9689" width="8.69921875" style="2"/>
    <col min="9693" max="9693" width="8.69921875" style="2"/>
    <col min="9697" max="9697" width="8.69921875" style="2"/>
    <col min="9701" max="9701" width="8.69921875" style="2"/>
    <col min="9705" max="9705" width="8.69921875" style="2"/>
    <col min="9709" max="9709" width="8.69921875" style="2"/>
    <col min="9713" max="9713" width="8.69921875" style="2"/>
    <col min="9717" max="9717" width="8.69921875" style="2"/>
    <col min="9721" max="9721" width="8.69921875" style="2"/>
    <col min="9725" max="9725" width="8.69921875" style="2"/>
    <col min="9729" max="9729" width="8.69921875" style="2"/>
    <col min="9733" max="9733" width="8.69921875" style="2"/>
    <col min="9737" max="9737" width="8.69921875" style="2"/>
    <col min="9741" max="9741" width="8.69921875" style="2"/>
    <col min="9745" max="9745" width="8.69921875" style="2"/>
    <col min="9749" max="9749" width="8.69921875" style="2"/>
    <col min="9753" max="9753" width="8.69921875" style="2"/>
    <col min="9757" max="9757" width="8.69921875" style="2"/>
    <col min="9761" max="9761" width="8.69921875" style="2"/>
    <col min="9765" max="9765" width="8.69921875" style="2"/>
    <col min="9769" max="9769" width="8.69921875" style="2"/>
    <col min="9773" max="9773" width="8.69921875" style="2"/>
    <col min="9777" max="9777" width="8.69921875" style="2"/>
    <col min="9781" max="9781" width="8.69921875" style="2"/>
    <col min="9785" max="9785" width="8.69921875" style="2"/>
    <col min="9789" max="9789" width="8.69921875" style="2"/>
    <col min="9793" max="9793" width="8.69921875" style="2"/>
    <col min="9797" max="9797" width="8.69921875" style="2"/>
    <col min="9801" max="9801" width="8.69921875" style="2"/>
    <col min="9805" max="9805" width="8.69921875" style="2"/>
    <col min="9809" max="9809" width="8.69921875" style="2"/>
    <col min="9813" max="9813" width="8.69921875" style="2"/>
    <col min="9817" max="9817" width="8.69921875" style="2"/>
    <col min="9821" max="9821" width="8.69921875" style="2"/>
    <col min="9825" max="9825" width="8.69921875" style="2"/>
    <col min="9829" max="9829" width="8.69921875" style="2"/>
    <col min="9833" max="9833" width="8.69921875" style="2"/>
    <col min="9837" max="9837" width="8.69921875" style="2"/>
    <col min="9841" max="9841" width="8.69921875" style="2"/>
    <col min="9845" max="9845" width="8.69921875" style="2"/>
    <col min="9849" max="9849" width="8.69921875" style="2"/>
    <col min="9853" max="9853" width="8.69921875" style="2"/>
    <col min="9857" max="9857" width="8.69921875" style="2"/>
    <col min="9861" max="9861" width="8.69921875" style="2"/>
    <col min="9865" max="9865" width="8.69921875" style="2"/>
    <col min="9869" max="9869" width="8.69921875" style="2"/>
    <col min="9873" max="9873" width="8.69921875" style="2"/>
    <col min="9877" max="9877" width="8.69921875" style="2"/>
    <col min="9881" max="9881" width="8.69921875" style="2"/>
    <col min="9885" max="9885" width="8.69921875" style="2"/>
    <col min="9889" max="9889" width="8.69921875" style="2"/>
    <col min="9893" max="9893" width="8.69921875" style="2"/>
    <col min="9897" max="9897" width="8.69921875" style="2"/>
    <col min="9901" max="9901" width="8.69921875" style="2"/>
    <col min="9905" max="9905" width="8.69921875" style="2"/>
    <col min="9909" max="9909" width="8.69921875" style="2"/>
    <col min="9913" max="9913" width="8.69921875" style="2"/>
    <col min="9917" max="9917" width="8.69921875" style="2"/>
    <col min="9921" max="9921" width="8.69921875" style="2"/>
    <col min="9925" max="9925" width="8.69921875" style="2"/>
    <col min="9929" max="9929" width="8.69921875" style="2"/>
    <col min="9933" max="9933" width="8.69921875" style="2"/>
    <col min="9937" max="9937" width="8.69921875" style="2"/>
    <col min="9941" max="9941" width="8.69921875" style="2"/>
    <col min="9945" max="9945" width="8.69921875" style="2"/>
    <col min="9949" max="9949" width="8.69921875" style="2"/>
    <col min="9953" max="9953" width="8.69921875" style="2"/>
    <col min="9957" max="9957" width="8.69921875" style="2"/>
    <col min="9961" max="9961" width="8.69921875" style="2"/>
    <col min="9965" max="9965" width="8.69921875" style="2"/>
    <col min="9969" max="9969" width="8.69921875" style="2"/>
    <col min="9973" max="9973" width="8.69921875" style="2"/>
    <col min="9977" max="9977" width="8.69921875" style="2"/>
    <col min="9981" max="9981" width="8.69921875" style="2"/>
    <col min="9985" max="9985" width="8.69921875" style="2"/>
    <col min="9989" max="9989" width="8.69921875" style="2"/>
    <col min="9993" max="9993" width="8.69921875" style="2"/>
    <col min="9997" max="9997" width="8.69921875" style="2"/>
    <col min="10001" max="10001" width="8.69921875" style="2"/>
    <col min="10005" max="10005" width="8.69921875" style="2"/>
    <col min="10009" max="10009" width="8.69921875" style="2"/>
    <col min="10013" max="10013" width="8.69921875" style="2"/>
    <col min="10017" max="10017" width="8.69921875" style="2"/>
    <col min="10021" max="10021" width="8.69921875" style="2"/>
    <col min="10025" max="10025" width="8.69921875" style="2"/>
    <col min="10029" max="10029" width="8.69921875" style="2"/>
    <col min="10033" max="10033" width="8.69921875" style="2"/>
    <col min="10037" max="10037" width="8.69921875" style="2"/>
    <col min="10041" max="10041" width="8.69921875" style="2"/>
    <col min="10045" max="10045" width="8.69921875" style="2"/>
    <col min="10049" max="10049" width="8.69921875" style="2"/>
    <col min="10053" max="10053" width="8.69921875" style="2"/>
    <col min="10057" max="10057" width="8.69921875" style="2"/>
    <col min="10061" max="10061" width="8.69921875" style="2"/>
    <col min="10065" max="10065" width="8.69921875" style="2"/>
    <col min="10069" max="10069" width="8.69921875" style="2"/>
    <col min="10073" max="10073" width="8.69921875" style="2"/>
    <col min="10077" max="10077" width="8.69921875" style="2"/>
    <col min="10081" max="10081" width="8.69921875" style="2"/>
    <col min="10085" max="10085" width="8.69921875" style="2"/>
    <col min="10089" max="10089" width="8.69921875" style="2"/>
    <col min="10093" max="10093" width="8.69921875" style="2"/>
    <col min="10097" max="10097" width="8.69921875" style="2"/>
    <col min="10101" max="10101" width="8.69921875" style="2"/>
    <col min="10105" max="10105" width="8.69921875" style="2"/>
    <col min="10109" max="10109" width="8.69921875" style="2"/>
    <col min="10113" max="10113" width="8.69921875" style="2"/>
    <col min="10117" max="10117" width="8.69921875" style="2"/>
    <col min="10121" max="10121" width="8.69921875" style="2"/>
    <col min="10125" max="10125" width="8.69921875" style="2"/>
    <col min="10129" max="10129" width="8.69921875" style="2"/>
    <col min="10133" max="10133" width="8.69921875" style="2"/>
    <col min="10137" max="10137" width="8.69921875" style="2"/>
    <col min="10141" max="10141" width="8.69921875" style="2"/>
    <col min="10145" max="10145" width="8.69921875" style="2"/>
    <col min="10149" max="10149" width="8.69921875" style="2"/>
    <col min="10153" max="10153" width="8.69921875" style="2"/>
    <col min="10157" max="10157" width="8.69921875" style="2"/>
    <col min="10161" max="10161" width="8.69921875" style="2"/>
    <col min="10165" max="10165" width="8.69921875" style="2"/>
    <col min="10169" max="10169" width="8.69921875" style="2"/>
    <col min="10173" max="10173" width="8.69921875" style="2"/>
    <col min="10177" max="10177" width="8.69921875" style="2"/>
    <col min="10181" max="10181" width="8.69921875" style="2"/>
    <col min="10185" max="10185" width="8.69921875" style="2"/>
    <col min="10189" max="10189" width="8.69921875" style="2"/>
    <col min="10193" max="10193" width="8.69921875" style="2"/>
    <col min="10197" max="10197" width="8.69921875" style="2"/>
    <col min="10201" max="10201" width="8.69921875" style="2"/>
    <col min="10205" max="10205" width="8.69921875" style="2"/>
    <col min="10209" max="10209" width="8.69921875" style="2"/>
    <col min="10213" max="10213" width="8.69921875" style="2"/>
    <col min="10217" max="10217" width="8.69921875" style="2"/>
    <col min="10221" max="10221" width="8.69921875" style="2"/>
    <col min="10225" max="10225" width="8.69921875" style="2"/>
    <col min="10229" max="10229" width="8.69921875" style="2"/>
    <col min="10233" max="10233" width="8.69921875" style="2"/>
    <col min="10237" max="10237" width="8.69921875" style="2"/>
    <col min="10241" max="10241" width="8.69921875" style="2"/>
    <col min="10245" max="10245" width="8.69921875" style="2"/>
    <col min="10249" max="10249" width="8.69921875" style="2"/>
    <col min="10253" max="10253" width="8.69921875" style="2"/>
    <col min="10257" max="10257" width="8.69921875" style="2"/>
    <col min="10261" max="10261" width="8.69921875" style="2"/>
    <col min="10265" max="10265" width="8.69921875" style="2"/>
    <col min="10269" max="10269" width="8.69921875" style="2"/>
    <col min="10273" max="10273" width="8.69921875" style="2"/>
    <col min="10277" max="10277" width="8.69921875" style="2"/>
    <col min="10281" max="10281" width="8.69921875" style="2"/>
    <col min="10285" max="10285" width="8.69921875" style="2"/>
    <col min="10289" max="10289" width="8.69921875" style="2"/>
    <col min="10293" max="10293" width="8.69921875" style="2"/>
    <col min="10297" max="10297" width="8.69921875" style="2"/>
    <col min="10301" max="10301" width="8.69921875" style="2"/>
    <col min="10305" max="10305" width="8.69921875" style="2"/>
    <col min="10309" max="10309" width="8.69921875" style="2"/>
    <col min="10313" max="10313" width="8.69921875" style="2"/>
    <col min="10317" max="10317" width="8.69921875" style="2"/>
    <col min="10321" max="10321" width="8.69921875" style="2"/>
    <col min="10325" max="10325" width="8.69921875" style="2"/>
    <col min="10329" max="10329" width="8.69921875" style="2"/>
    <col min="10333" max="10333" width="8.69921875" style="2"/>
    <col min="10337" max="10337" width="8.69921875" style="2"/>
    <col min="10341" max="10341" width="8.69921875" style="2"/>
    <col min="10345" max="10345" width="8.69921875" style="2"/>
    <col min="10349" max="10349" width="8.69921875" style="2"/>
    <col min="10353" max="10353" width="8.69921875" style="2"/>
    <col min="10357" max="10357" width="8.69921875" style="2"/>
    <col min="10361" max="10361" width="8.69921875" style="2"/>
    <col min="10365" max="10365" width="8.69921875" style="2"/>
    <col min="10369" max="10369" width="8.69921875" style="2"/>
    <col min="10373" max="10373" width="8.69921875" style="2"/>
    <col min="10377" max="10377" width="8.69921875" style="2"/>
    <col min="10381" max="10381" width="8.69921875" style="2"/>
    <col min="10385" max="10385" width="8.69921875" style="2"/>
    <col min="10389" max="10389" width="8.69921875" style="2"/>
    <col min="10393" max="10393" width="8.69921875" style="2"/>
    <col min="10397" max="10397" width="8.69921875" style="2"/>
    <col min="10401" max="10401" width="8.69921875" style="2"/>
    <col min="10405" max="10405" width="8.69921875" style="2"/>
    <col min="10409" max="10409" width="8.69921875" style="2"/>
    <col min="10413" max="10413" width="8.69921875" style="2"/>
    <col min="10417" max="10417" width="8.69921875" style="2"/>
    <col min="10421" max="10421" width="8.69921875" style="2"/>
    <col min="10425" max="10425" width="8.69921875" style="2"/>
    <col min="10429" max="10429" width="8.69921875" style="2"/>
    <col min="10433" max="10433" width="8.69921875" style="2"/>
    <col min="10437" max="10437" width="8.69921875" style="2"/>
    <col min="10441" max="10441" width="8.69921875" style="2"/>
    <col min="10445" max="10445" width="8.69921875" style="2"/>
    <col min="10449" max="10449" width="8.69921875" style="2"/>
    <col min="10453" max="10453" width="8.69921875" style="2"/>
    <col min="10457" max="10457" width="8.69921875" style="2"/>
    <col min="10461" max="10461" width="8.69921875" style="2"/>
    <col min="10465" max="10465" width="8.69921875" style="2"/>
    <col min="10469" max="10469" width="8.69921875" style="2"/>
    <col min="10473" max="10473" width="8.69921875" style="2"/>
    <col min="10477" max="10477" width="8.69921875" style="2"/>
    <col min="10481" max="10481" width="8.69921875" style="2"/>
    <col min="10485" max="10485" width="8.69921875" style="2"/>
    <col min="10489" max="10489" width="8.69921875" style="2"/>
    <col min="10493" max="10493" width="8.69921875" style="2"/>
    <col min="10497" max="10497" width="8.69921875" style="2"/>
    <col min="10501" max="10501" width="8.69921875" style="2"/>
    <col min="10505" max="10505" width="8.69921875" style="2"/>
    <col min="10509" max="10509" width="8.69921875" style="2"/>
    <col min="10513" max="10513" width="8.69921875" style="2"/>
    <col min="10517" max="10517" width="8.69921875" style="2"/>
    <col min="10521" max="10521" width="8.69921875" style="2"/>
    <col min="10525" max="10525" width="8.69921875" style="2"/>
    <col min="10529" max="10529" width="8.69921875" style="2"/>
    <col min="10533" max="10533" width="8.69921875" style="2"/>
    <col min="10537" max="10537" width="8.69921875" style="2"/>
    <col min="10541" max="10541" width="8.69921875" style="2"/>
    <col min="10545" max="10545" width="8.69921875" style="2"/>
    <col min="10549" max="10549" width="8.69921875" style="2"/>
    <col min="10553" max="10553" width="8.69921875" style="2"/>
    <col min="10557" max="10557" width="8.69921875" style="2"/>
    <col min="10561" max="10561" width="8.69921875" style="2"/>
    <col min="10565" max="10565" width="8.69921875" style="2"/>
    <col min="10569" max="10569" width="8.69921875" style="2"/>
    <col min="10573" max="10573" width="8.69921875" style="2"/>
    <col min="10577" max="10577" width="8.69921875" style="2"/>
    <col min="10581" max="10581" width="8.69921875" style="2"/>
    <col min="10585" max="10585" width="8.69921875" style="2"/>
    <col min="10589" max="10589" width="8.69921875" style="2"/>
    <col min="10593" max="10593" width="8.69921875" style="2"/>
    <col min="10597" max="10597" width="8.69921875" style="2"/>
    <col min="10601" max="10601" width="8.69921875" style="2"/>
    <col min="10605" max="10605" width="8.69921875" style="2"/>
    <col min="10609" max="10609" width="8.69921875" style="2"/>
    <col min="10613" max="10613" width="8.69921875" style="2"/>
    <col min="10617" max="10617" width="8.69921875" style="2"/>
    <col min="10621" max="10621" width="8.69921875" style="2"/>
    <col min="10625" max="10625" width="8.69921875" style="2"/>
    <col min="10629" max="10629" width="8.69921875" style="2"/>
    <col min="10633" max="10633" width="8.69921875" style="2"/>
    <col min="10637" max="10637" width="8.69921875" style="2"/>
    <col min="10641" max="10641" width="8.69921875" style="2"/>
    <col min="10645" max="10645" width="8.69921875" style="2"/>
    <col min="10649" max="10649" width="8.69921875" style="2"/>
    <col min="10653" max="10653" width="8.69921875" style="2"/>
    <col min="10657" max="10657" width="8.69921875" style="2"/>
    <col min="10661" max="10661" width="8.69921875" style="2"/>
    <col min="10665" max="10665" width="8.69921875" style="2"/>
    <col min="10669" max="10669" width="8.69921875" style="2"/>
    <col min="10673" max="10673" width="8.69921875" style="2"/>
    <col min="10677" max="10677" width="8.69921875" style="2"/>
    <col min="10681" max="10681" width="8.69921875" style="2"/>
    <col min="10685" max="10685" width="8.69921875" style="2"/>
    <col min="10689" max="10689" width="8.69921875" style="2"/>
    <col min="10693" max="10693" width="8.69921875" style="2"/>
    <col min="10697" max="10697" width="8.69921875" style="2"/>
    <col min="10701" max="10701" width="8.69921875" style="2"/>
    <col min="10705" max="10705" width="8.69921875" style="2"/>
    <col min="10709" max="10709" width="8.69921875" style="2"/>
    <col min="10713" max="10713" width="8.69921875" style="2"/>
    <col min="10717" max="10717" width="8.69921875" style="2"/>
    <col min="10721" max="10721" width="8.69921875" style="2"/>
    <col min="10725" max="10725" width="8.69921875" style="2"/>
    <col min="10729" max="10729" width="8.69921875" style="2"/>
    <col min="10733" max="10733" width="8.69921875" style="2"/>
    <col min="10737" max="10737" width="8.69921875" style="2"/>
    <col min="10741" max="10741" width="8.69921875" style="2"/>
    <col min="10745" max="10745" width="8.69921875" style="2"/>
    <col min="10749" max="10749" width="8.69921875" style="2"/>
    <col min="10753" max="10753" width="8.69921875" style="2"/>
    <col min="10757" max="10757" width="8.69921875" style="2"/>
    <col min="10761" max="10761" width="8.69921875" style="2"/>
    <col min="10765" max="10765" width="8.69921875" style="2"/>
    <col min="10769" max="10769" width="8.69921875" style="2"/>
    <col min="10773" max="10773" width="8.69921875" style="2"/>
    <col min="10777" max="10777" width="8.69921875" style="2"/>
    <col min="10781" max="10781" width="8.69921875" style="2"/>
    <col min="10785" max="10785" width="8.69921875" style="2"/>
    <col min="10789" max="10789" width="8.69921875" style="2"/>
    <col min="10793" max="10793" width="8.69921875" style="2"/>
    <col min="10797" max="10797" width="8.69921875" style="2"/>
    <col min="10801" max="10801" width="8.69921875" style="2"/>
    <col min="10805" max="10805" width="8.69921875" style="2"/>
    <col min="10809" max="10809" width="8.69921875" style="2"/>
    <col min="10813" max="10813" width="8.69921875" style="2"/>
    <col min="10817" max="10817" width="8.69921875" style="2"/>
    <col min="10821" max="10821" width="8.69921875" style="2"/>
    <col min="10825" max="10825" width="8.69921875" style="2"/>
    <col min="10829" max="10829" width="8.69921875" style="2"/>
    <col min="10833" max="10833" width="8.69921875" style="2"/>
    <col min="10837" max="10837" width="8.69921875" style="2"/>
    <col min="10841" max="10841" width="8.69921875" style="2"/>
    <col min="10845" max="10845" width="8.69921875" style="2"/>
    <col min="10849" max="10849" width="8.69921875" style="2"/>
    <col min="10853" max="10853" width="8.69921875" style="2"/>
    <col min="10857" max="10857" width="8.69921875" style="2"/>
    <col min="10861" max="10861" width="8.69921875" style="2"/>
    <col min="10865" max="10865" width="8.69921875" style="2"/>
    <col min="10869" max="10869" width="8.69921875" style="2"/>
    <col min="10873" max="10873" width="8.69921875" style="2"/>
    <col min="10877" max="10877" width="8.69921875" style="2"/>
    <col min="10881" max="10881" width="8.69921875" style="2"/>
    <col min="10885" max="10885" width="8.69921875" style="2"/>
    <col min="10889" max="10889" width="8.69921875" style="2"/>
    <col min="10893" max="10893" width="8.69921875" style="2"/>
    <col min="10897" max="10897" width="8.69921875" style="2"/>
    <col min="10901" max="10901" width="8.69921875" style="2"/>
    <col min="10905" max="10905" width="8.69921875" style="2"/>
    <col min="10909" max="10909" width="8.69921875" style="2"/>
    <col min="10913" max="10913" width="8.69921875" style="2"/>
    <col min="10917" max="10917" width="8.69921875" style="2"/>
    <col min="10921" max="10921" width="8.69921875" style="2"/>
    <col min="10925" max="10925" width="8.69921875" style="2"/>
    <col min="10929" max="10929" width="8.69921875" style="2"/>
    <col min="10933" max="10933" width="8.69921875" style="2"/>
    <col min="10937" max="10937" width="8.69921875" style="2"/>
    <col min="10941" max="10941" width="8.69921875" style="2"/>
    <col min="10945" max="10945" width="8.69921875" style="2"/>
    <col min="10949" max="10949" width="8.69921875" style="2"/>
    <col min="10953" max="10953" width="8.69921875" style="2"/>
    <col min="10957" max="10957" width="8.69921875" style="2"/>
    <col min="10961" max="10961" width="8.69921875" style="2"/>
    <col min="10965" max="10965" width="8.69921875" style="2"/>
    <col min="10969" max="10969" width="8.69921875" style="2"/>
    <col min="10973" max="10973" width="8.69921875" style="2"/>
    <col min="10977" max="10977" width="8.69921875" style="2"/>
    <col min="10981" max="10981" width="8.69921875" style="2"/>
    <col min="10985" max="10985" width="8.69921875" style="2"/>
    <col min="10989" max="10989" width="8.69921875" style="2"/>
    <col min="10993" max="10993" width="8.69921875" style="2"/>
    <col min="10997" max="10997" width="8.69921875" style="2"/>
    <col min="11001" max="11001" width="8.69921875" style="2"/>
    <col min="11005" max="11005" width="8.69921875" style="2"/>
    <col min="11009" max="11009" width="8.69921875" style="2"/>
    <col min="11013" max="11013" width="8.69921875" style="2"/>
    <col min="11017" max="11017" width="8.69921875" style="2"/>
    <col min="11021" max="11021" width="8.69921875" style="2"/>
    <col min="11025" max="11025" width="8.69921875" style="2"/>
    <col min="11029" max="11029" width="8.69921875" style="2"/>
    <col min="11033" max="11033" width="8.69921875" style="2"/>
    <col min="11037" max="11037" width="8.69921875" style="2"/>
    <col min="11041" max="11041" width="8.69921875" style="2"/>
    <col min="11045" max="11045" width="8.69921875" style="2"/>
    <col min="11049" max="11049" width="8.69921875" style="2"/>
    <col min="11053" max="11053" width="8.69921875" style="2"/>
    <col min="11057" max="11057" width="8.69921875" style="2"/>
    <col min="11061" max="11061" width="8.69921875" style="2"/>
    <col min="11065" max="11065" width="8.69921875" style="2"/>
    <col min="11069" max="11069" width="8.69921875" style="2"/>
    <col min="11073" max="11073" width="8.69921875" style="2"/>
    <col min="11077" max="11077" width="8.69921875" style="2"/>
    <col min="11081" max="11081" width="8.69921875" style="2"/>
    <col min="11085" max="11085" width="8.69921875" style="2"/>
    <col min="11089" max="11089" width="8.69921875" style="2"/>
    <col min="11093" max="11093" width="8.69921875" style="2"/>
    <col min="11097" max="11097" width="8.69921875" style="2"/>
    <col min="11101" max="11101" width="8.69921875" style="2"/>
    <col min="11105" max="11105" width="8.69921875" style="2"/>
    <col min="11109" max="11109" width="8.69921875" style="2"/>
    <col min="11113" max="11113" width="8.69921875" style="2"/>
    <col min="11117" max="11117" width="8.69921875" style="2"/>
    <col min="11121" max="11121" width="8.69921875" style="2"/>
    <col min="11125" max="11125" width="8.69921875" style="2"/>
    <col min="11129" max="11129" width="8.69921875" style="2"/>
    <col min="11133" max="11133" width="8.69921875" style="2"/>
    <col min="11137" max="11137" width="8.69921875" style="2"/>
    <col min="11141" max="11141" width="8.69921875" style="2"/>
    <col min="11145" max="11145" width="8.69921875" style="2"/>
    <col min="11149" max="11149" width="8.69921875" style="2"/>
    <col min="11153" max="11153" width="8.69921875" style="2"/>
    <col min="11157" max="11157" width="8.69921875" style="2"/>
    <col min="11161" max="11161" width="8.69921875" style="2"/>
    <col min="11165" max="11165" width="8.69921875" style="2"/>
    <col min="11169" max="11169" width="8.69921875" style="2"/>
    <col min="11173" max="11173" width="8.69921875" style="2"/>
    <col min="11177" max="11177" width="8.69921875" style="2"/>
    <col min="11181" max="11181" width="8.69921875" style="2"/>
    <col min="11185" max="11185" width="8.69921875" style="2"/>
    <col min="11189" max="11189" width="8.69921875" style="2"/>
    <col min="11193" max="11193" width="8.69921875" style="2"/>
    <col min="11197" max="11197" width="8.69921875" style="2"/>
    <col min="11201" max="11201" width="8.69921875" style="2"/>
    <col min="11205" max="11205" width="8.69921875" style="2"/>
    <col min="11209" max="11209" width="8.69921875" style="2"/>
    <col min="11213" max="11213" width="8.69921875" style="2"/>
    <col min="11217" max="11217" width="8.69921875" style="2"/>
    <col min="11221" max="11221" width="8.69921875" style="2"/>
    <col min="11225" max="11225" width="8.69921875" style="2"/>
    <col min="11229" max="11229" width="8.69921875" style="2"/>
    <col min="11233" max="11233" width="8.69921875" style="2"/>
    <col min="11237" max="11237" width="8.69921875" style="2"/>
    <col min="11241" max="11241" width="8.69921875" style="2"/>
    <col min="11245" max="11245" width="8.69921875" style="2"/>
    <col min="11249" max="11249" width="8.69921875" style="2"/>
    <col min="11253" max="11253" width="8.69921875" style="2"/>
    <col min="11257" max="11257" width="8.69921875" style="2"/>
    <col min="11261" max="11261" width="8.69921875" style="2"/>
    <col min="11265" max="11265" width="8.69921875" style="2"/>
    <col min="11269" max="11269" width="8.69921875" style="2"/>
    <col min="11273" max="11273" width="8.69921875" style="2"/>
    <col min="11277" max="11277" width="8.69921875" style="2"/>
    <col min="11281" max="11281" width="8.69921875" style="2"/>
    <col min="11285" max="11285" width="8.69921875" style="2"/>
    <col min="11289" max="11289" width="8.69921875" style="2"/>
    <col min="11293" max="11293" width="8.69921875" style="2"/>
    <col min="11297" max="11297" width="8.69921875" style="2"/>
    <col min="11301" max="11301" width="8.69921875" style="2"/>
    <col min="11305" max="11305" width="8.69921875" style="2"/>
    <col min="11309" max="11309" width="8.69921875" style="2"/>
    <col min="11313" max="11313" width="8.69921875" style="2"/>
    <col min="11317" max="11317" width="8.69921875" style="2"/>
    <col min="11321" max="11321" width="8.69921875" style="2"/>
    <col min="11325" max="11325" width="8.69921875" style="2"/>
    <col min="11329" max="11329" width="8.69921875" style="2"/>
    <col min="11333" max="11333" width="8.69921875" style="2"/>
    <col min="11337" max="11337" width="8.69921875" style="2"/>
    <col min="11341" max="11341" width="8.69921875" style="2"/>
    <col min="11345" max="11345" width="8.69921875" style="2"/>
    <col min="11349" max="11349" width="8.69921875" style="2"/>
    <col min="11353" max="11353" width="8.69921875" style="2"/>
    <col min="11357" max="11357" width="8.69921875" style="2"/>
    <col min="11361" max="11361" width="8.69921875" style="2"/>
    <col min="11365" max="11365" width="8.69921875" style="2"/>
    <col min="11369" max="11369" width="8.69921875" style="2"/>
    <col min="11373" max="11373" width="8.69921875" style="2"/>
    <col min="11377" max="11377" width="8.69921875" style="2"/>
    <col min="11381" max="11381" width="8.69921875" style="2"/>
    <col min="11385" max="11385" width="8.69921875" style="2"/>
    <col min="11389" max="11389" width="8.69921875" style="2"/>
    <col min="11393" max="11393" width="8.69921875" style="2"/>
    <col min="11397" max="11397" width="8.69921875" style="2"/>
    <col min="11401" max="11401" width="8.69921875" style="2"/>
    <col min="11405" max="11405" width="8.69921875" style="2"/>
    <col min="11409" max="11409" width="8.69921875" style="2"/>
    <col min="11413" max="11413" width="8.69921875" style="2"/>
    <col min="11417" max="11417" width="8.69921875" style="2"/>
    <col min="11421" max="11421" width="8.69921875" style="2"/>
    <col min="11425" max="11425" width="8.69921875" style="2"/>
    <col min="11429" max="11429" width="8.69921875" style="2"/>
    <col min="11433" max="11433" width="8.69921875" style="2"/>
    <col min="11437" max="11437" width="8.69921875" style="2"/>
    <col min="11441" max="11441" width="8.69921875" style="2"/>
    <col min="11445" max="11445" width="8.69921875" style="2"/>
    <col min="11449" max="11449" width="8.69921875" style="2"/>
    <col min="11453" max="11453" width="8.69921875" style="2"/>
    <col min="11457" max="11457" width="8.69921875" style="2"/>
    <col min="11461" max="11461" width="8.69921875" style="2"/>
    <col min="11465" max="11465" width="8.69921875" style="2"/>
    <col min="11469" max="11469" width="8.69921875" style="2"/>
    <col min="11473" max="11473" width="8.69921875" style="2"/>
    <col min="11477" max="11477" width="8.69921875" style="2"/>
    <col min="11481" max="11481" width="8.69921875" style="2"/>
    <col min="11485" max="11485" width="8.69921875" style="2"/>
    <col min="11489" max="11489" width="8.69921875" style="2"/>
    <col min="11493" max="11493" width="8.69921875" style="2"/>
    <col min="11497" max="11497" width="8.69921875" style="2"/>
    <col min="11501" max="11501" width="8.69921875" style="2"/>
    <col min="11505" max="11505" width="8.69921875" style="2"/>
    <col min="11509" max="11509" width="8.69921875" style="2"/>
    <col min="11513" max="11513" width="8.69921875" style="2"/>
    <col min="11517" max="11517" width="8.69921875" style="2"/>
    <col min="11521" max="11521" width="8.69921875" style="2"/>
    <col min="11525" max="11525" width="8.69921875" style="2"/>
    <col min="11529" max="11529" width="8.69921875" style="2"/>
    <col min="11533" max="11533" width="8.69921875" style="2"/>
    <col min="11537" max="11537" width="8.69921875" style="2"/>
    <col min="11541" max="11541" width="8.69921875" style="2"/>
    <col min="11545" max="11545" width="8.69921875" style="2"/>
    <col min="11549" max="11549" width="8.69921875" style="2"/>
    <col min="11553" max="11553" width="8.69921875" style="2"/>
    <col min="11557" max="11557" width="8.69921875" style="2"/>
    <col min="11561" max="11561" width="8.69921875" style="2"/>
    <col min="11565" max="11565" width="8.69921875" style="2"/>
    <col min="11569" max="11569" width="8.69921875" style="2"/>
    <col min="11573" max="11573" width="8.69921875" style="2"/>
    <col min="11577" max="11577" width="8.69921875" style="2"/>
    <col min="11581" max="11581" width="8.69921875" style="2"/>
    <col min="11585" max="11585" width="8.69921875" style="2"/>
    <col min="11589" max="11589" width="8.69921875" style="2"/>
    <col min="11593" max="11593" width="8.69921875" style="2"/>
    <col min="11597" max="11597" width="8.69921875" style="2"/>
    <col min="11601" max="11601" width="8.69921875" style="2"/>
    <col min="11605" max="11605" width="8.69921875" style="2"/>
    <col min="11609" max="11609" width="8.69921875" style="2"/>
    <col min="11613" max="11613" width="8.69921875" style="2"/>
    <col min="11617" max="11617" width="8.69921875" style="2"/>
    <col min="11621" max="11621" width="8.69921875" style="2"/>
    <col min="11625" max="11625" width="8.69921875" style="2"/>
    <col min="11629" max="11629" width="8.69921875" style="2"/>
    <col min="11633" max="11633" width="8.69921875" style="2"/>
    <col min="11637" max="11637" width="8.69921875" style="2"/>
    <col min="11641" max="11641" width="8.69921875" style="2"/>
    <col min="11645" max="11645" width="8.69921875" style="2"/>
    <col min="11649" max="11649" width="8.69921875" style="2"/>
    <col min="11653" max="11653" width="8.69921875" style="2"/>
    <col min="11657" max="11657" width="8.69921875" style="2"/>
    <col min="11661" max="11661" width="8.69921875" style="2"/>
    <col min="11665" max="11665" width="8.69921875" style="2"/>
    <col min="11669" max="11669" width="8.69921875" style="2"/>
    <col min="11673" max="11673" width="8.69921875" style="2"/>
    <col min="11677" max="11677" width="8.69921875" style="2"/>
    <col min="11681" max="11681" width="8.69921875" style="2"/>
    <col min="11685" max="11685" width="8.69921875" style="2"/>
    <col min="11689" max="11689" width="8.69921875" style="2"/>
    <col min="11693" max="11693" width="8.69921875" style="2"/>
    <col min="11697" max="11697" width="8.69921875" style="2"/>
    <col min="11701" max="11701" width="8.69921875" style="2"/>
    <col min="11705" max="11705" width="8.69921875" style="2"/>
    <col min="11709" max="11709" width="8.69921875" style="2"/>
    <col min="11713" max="11713" width="8.69921875" style="2"/>
    <col min="11717" max="11717" width="8.69921875" style="2"/>
    <col min="11721" max="11721" width="8.69921875" style="2"/>
    <col min="11725" max="11725" width="8.69921875" style="2"/>
    <col min="11729" max="11729" width="8.69921875" style="2"/>
    <col min="11733" max="11733" width="8.69921875" style="2"/>
    <col min="11737" max="11737" width="8.69921875" style="2"/>
    <col min="11741" max="11741" width="8.69921875" style="2"/>
    <col min="11745" max="11745" width="8.69921875" style="2"/>
    <col min="11749" max="11749" width="8.69921875" style="2"/>
    <col min="11753" max="11753" width="8.69921875" style="2"/>
    <col min="11757" max="11757" width="8.69921875" style="2"/>
    <col min="11761" max="11761" width="8.69921875" style="2"/>
    <col min="11765" max="11765" width="8.69921875" style="2"/>
    <col min="11769" max="11769" width="8.69921875" style="2"/>
    <col min="11773" max="11773" width="8.69921875" style="2"/>
    <col min="11777" max="11777" width="8.69921875" style="2"/>
    <col min="11781" max="11781" width="8.69921875" style="2"/>
    <col min="11785" max="11785" width="8.69921875" style="2"/>
    <col min="11789" max="11789" width="8.69921875" style="2"/>
    <col min="11793" max="11793" width="8.69921875" style="2"/>
    <col min="11797" max="11797" width="8.69921875" style="2"/>
    <col min="11801" max="11801" width="8.69921875" style="2"/>
    <col min="11805" max="11805" width="8.69921875" style="2"/>
    <col min="11809" max="11809" width="8.69921875" style="2"/>
    <col min="11813" max="11813" width="8.69921875" style="2"/>
    <col min="11817" max="11817" width="8.69921875" style="2"/>
    <col min="11821" max="11821" width="8.69921875" style="2"/>
    <col min="11825" max="11825" width="8.69921875" style="2"/>
    <col min="11829" max="11829" width="8.69921875" style="2"/>
    <col min="11833" max="11833" width="8.69921875" style="2"/>
    <col min="11837" max="11837" width="8.69921875" style="2"/>
    <col min="11841" max="11841" width="8.69921875" style="2"/>
    <col min="11845" max="11845" width="8.69921875" style="2"/>
    <col min="11849" max="11849" width="8.69921875" style="2"/>
    <col min="11853" max="11853" width="8.69921875" style="2"/>
    <col min="11857" max="11857" width="8.69921875" style="2"/>
    <col min="11861" max="11861" width="8.69921875" style="2"/>
    <col min="11865" max="11865" width="8.69921875" style="2"/>
    <col min="11869" max="11869" width="8.69921875" style="2"/>
    <col min="11873" max="11873" width="8.69921875" style="2"/>
    <col min="11877" max="11877" width="8.69921875" style="2"/>
    <col min="11881" max="11881" width="8.69921875" style="2"/>
    <col min="11885" max="11885" width="8.69921875" style="2"/>
    <col min="11889" max="11889" width="8.69921875" style="2"/>
    <col min="11893" max="11893" width="8.69921875" style="2"/>
    <col min="11897" max="11897" width="8.69921875" style="2"/>
    <col min="11901" max="11901" width="8.69921875" style="2"/>
    <col min="11905" max="11905" width="8.69921875" style="2"/>
    <col min="11909" max="11909" width="8.69921875" style="2"/>
    <col min="11913" max="11913" width="8.69921875" style="2"/>
    <col min="11917" max="11917" width="8.69921875" style="2"/>
    <col min="11921" max="11921" width="8.69921875" style="2"/>
    <col min="11925" max="11925" width="8.69921875" style="2"/>
    <col min="11929" max="11929" width="8.69921875" style="2"/>
    <col min="11933" max="11933" width="8.69921875" style="2"/>
    <col min="11937" max="11937" width="8.69921875" style="2"/>
    <col min="11941" max="11941" width="8.69921875" style="2"/>
    <col min="11945" max="11945" width="8.69921875" style="2"/>
    <col min="11949" max="11949" width="8.69921875" style="2"/>
    <col min="11953" max="11953" width="8.69921875" style="2"/>
    <col min="11957" max="11957" width="8.69921875" style="2"/>
    <col min="11961" max="11961" width="8.69921875" style="2"/>
    <col min="11965" max="11965" width="8.69921875" style="2"/>
    <col min="11969" max="11969" width="8.69921875" style="2"/>
    <col min="11973" max="11973" width="8.69921875" style="2"/>
    <col min="11977" max="11977" width="8.69921875" style="2"/>
    <col min="11981" max="11981" width="8.69921875" style="2"/>
    <col min="11985" max="11985" width="8.69921875" style="2"/>
    <col min="11989" max="11989" width="8.69921875" style="2"/>
    <col min="11993" max="11993" width="8.69921875" style="2"/>
    <col min="11997" max="11997" width="8.69921875" style="2"/>
    <col min="12001" max="12001" width="8.69921875" style="2"/>
    <col min="12005" max="12005" width="8.69921875" style="2"/>
    <col min="12009" max="12009" width="8.69921875" style="2"/>
    <col min="12013" max="12013" width="8.69921875" style="2"/>
    <col min="12017" max="12017" width="8.69921875" style="2"/>
    <col min="12021" max="12021" width="8.69921875" style="2"/>
    <col min="12025" max="12025" width="8.69921875" style="2"/>
    <col min="12029" max="12029" width="8.69921875" style="2"/>
    <col min="12033" max="12033" width="8.69921875" style="2"/>
    <col min="12037" max="12037" width="8.69921875" style="2"/>
    <col min="12041" max="12041" width="8.69921875" style="2"/>
    <col min="12045" max="12045" width="8.69921875" style="2"/>
    <col min="12049" max="12049" width="8.69921875" style="2"/>
    <col min="12053" max="12053" width="8.69921875" style="2"/>
    <col min="12057" max="12057" width="8.69921875" style="2"/>
    <col min="12061" max="12061" width="8.69921875" style="2"/>
    <col min="12065" max="12065" width="8.69921875" style="2"/>
    <col min="12069" max="12069" width="8.69921875" style="2"/>
    <col min="12073" max="12073" width="8.69921875" style="2"/>
    <col min="12077" max="12077" width="8.69921875" style="2"/>
    <col min="12081" max="12081" width="8.69921875" style="2"/>
    <col min="12085" max="12085" width="8.69921875" style="2"/>
    <col min="12089" max="12089" width="8.69921875" style="2"/>
    <col min="12093" max="12093" width="8.69921875" style="2"/>
    <col min="12097" max="12097" width="8.69921875" style="2"/>
    <col min="12101" max="12101" width="8.69921875" style="2"/>
    <col min="12105" max="12105" width="8.69921875" style="2"/>
    <col min="12109" max="12109" width="8.69921875" style="2"/>
    <col min="12113" max="12113" width="8.69921875" style="2"/>
    <col min="12117" max="12117" width="8.69921875" style="2"/>
    <col min="12121" max="12121" width="8.69921875" style="2"/>
    <col min="12125" max="12125" width="8.69921875" style="2"/>
    <col min="12129" max="12129" width="8.69921875" style="2"/>
    <col min="12133" max="12133" width="8.69921875" style="2"/>
    <col min="12137" max="12137" width="8.69921875" style="2"/>
    <col min="12141" max="12141" width="8.69921875" style="2"/>
    <col min="12145" max="12145" width="8.69921875" style="2"/>
    <col min="12149" max="12149" width="8.69921875" style="2"/>
    <col min="12153" max="12153" width="8.69921875" style="2"/>
    <col min="12157" max="12157" width="8.69921875" style="2"/>
    <col min="12161" max="12161" width="8.69921875" style="2"/>
    <col min="12165" max="12165" width="8.69921875" style="2"/>
    <col min="12169" max="12169" width="8.69921875" style="2"/>
    <col min="12173" max="12173" width="8.69921875" style="2"/>
    <col min="12177" max="12177" width="8.69921875" style="2"/>
    <col min="12181" max="12181" width="8.69921875" style="2"/>
    <col min="12185" max="12185" width="8.69921875" style="2"/>
    <col min="12189" max="12189" width="8.69921875" style="2"/>
    <col min="12193" max="12193" width="8.69921875" style="2"/>
    <col min="12197" max="12197" width="8.69921875" style="2"/>
    <col min="12201" max="12201" width="8.69921875" style="2"/>
    <col min="12205" max="12205" width="8.69921875" style="2"/>
    <col min="12209" max="12209" width="8.69921875" style="2"/>
    <col min="12213" max="12213" width="8.69921875" style="2"/>
    <col min="12217" max="12217" width="8.69921875" style="2"/>
    <col min="12221" max="12221" width="8.69921875" style="2"/>
    <col min="12225" max="12225" width="8.69921875" style="2"/>
    <col min="12229" max="12229" width="8.69921875" style="2"/>
    <col min="12233" max="12233" width="8.69921875" style="2"/>
    <col min="12237" max="12237" width="8.69921875" style="2"/>
    <col min="12241" max="12241" width="8.69921875" style="2"/>
    <col min="12245" max="12245" width="8.69921875" style="2"/>
    <col min="12249" max="12249" width="8.69921875" style="2"/>
    <col min="12253" max="12253" width="8.69921875" style="2"/>
    <col min="12257" max="12257" width="8.69921875" style="2"/>
    <col min="12261" max="12261" width="8.69921875" style="2"/>
    <col min="12265" max="12265" width="8.69921875" style="2"/>
    <col min="12269" max="12269" width="8.69921875" style="2"/>
    <col min="12273" max="12273" width="8.69921875" style="2"/>
    <col min="12277" max="12277" width="8.69921875" style="2"/>
    <col min="12281" max="12281" width="8.69921875" style="2"/>
    <col min="12285" max="12285" width="8.69921875" style="2"/>
    <col min="12289" max="12289" width="8.69921875" style="2"/>
    <col min="12293" max="12293" width="8.69921875" style="2"/>
    <col min="12297" max="12297" width="8.69921875" style="2"/>
    <col min="12301" max="12301" width="8.69921875" style="2"/>
    <col min="12305" max="12305" width="8.69921875" style="2"/>
    <col min="12309" max="12309" width="8.69921875" style="2"/>
    <col min="12313" max="12313" width="8.69921875" style="2"/>
    <col min="12317" max="12317" width="8.69921875" style="2"/>
    <col min="12321" max="12321" width="8.69921875" style="2"/>
    <col min="12325" max="12325" width="8.69921875" style="2"/>
    <col min="12329" max="12329" width="8.69921875" style="2"/>
    <col min="12333" max="12333" width="8.69921875" style="2"/>
    <col min="12337" max="12337" width="8.69921875" style="2"/>
    <col min="12341" max="12341" width="8.69921875" style="2"/>
    <col min="12345" max="12345" width="8.69921875" style="2"/>
    <col min="12349" max="12349" width="8.69921875" style="2"/>
    <col min="12353" max="12353" width="8.69921875" style="2"/>
    <col min="12357" max="12357" width="8.69921875" style="2"/>
    <col min="12361" max="12361" width="8.69921875" style="2"/>
    <col min="12365" max="12365" width="8.69921875" style="2"/>
    <col min="12369" max="12369" width="8.69921875" style="2"/>
    <col min="12373" max="12373" width="8.69921875" style="2"/>
    <col min="12377" max="12377" width="8.69921875" style="2"/>
    <col min="12381" max="12381" width="8.69921875" style="2"/>
    <col min="12385" max="12385" width="8.69921875" style="2"/>
    <col min="12389" max="12389" width="8.69921875" style="2"/>
    <col min="12393" max="12393" width="8.69921875" style="2"/>
    <col min="12397" max="12397" width="8.69921875" style="2"/>
    <col min="12401" max="12401" width="8.69921875" style="2"/>
    <col min="12405" max="12405" width="8.69921875" style="2"/>
    <col min="12409" max="12409" width="8.69921875" style="2"/>
    <col min="12413" max="12413" width="8.69921875" style="2"/>
    <col min="12417" max="12417" width="8.69921875" style="2"/>
    <col min="12421" max="12421" width="8.69921875" style="2"/>
    <col min="12425" max="12425" width="8.69921875" style="2"/>
    <col min="12429" max="12429" width="8.69921875" style="2"/>
    <col min="12433" max="12433" width="8.69921875" style="2"/>
    <col min="12437" max="12437" width="8.69921875" style="2"/>
    <col min="12441" max="12441" width="8.69921875" style="2"/>
    <col min="12445" max="12445" width="8.69921875" style="2"/>
    <col min="12449" max="12449" width="8.69921875" style="2"/>
    <col min="12453" max="12453" width="8.69921875" style="2"/>
    <col min="12457" max="12457" width="8.69921875" style="2"/>
    <col min="12461" max="12461" width="8.69921875" style="2"/>
    <col min="12465" max="12465" width="8.69921875" style="2"/>
    <col min="12469" max="12469" width="8.69921875" style="2"/>
    <col min="12473" max="12473" width="8.69921875" style="2"/>
    <col min="12477" max="12477" width="8.69921875" style="2"/>
    <col min="12481" max="12481" width="8.69921875" style="2"/>
    <col min="12485" max="12485" width="8.69921875" style="2"/>
    <col min="12489" max="12489" width="8.69921875" style="2"/>
    <col min="12493" max="12493" width="8.69921875" style="2"/>
    <col min="12497" max="12497" width="8.69921875" style="2"/>
    <col min="12501" max="12501" width="8.69921875" style="2"/>
    <col min="12505" max="12505" width="8.69921875" style="2"/>
    <col min="12509" max="12509" width="8.69921875" style="2"/>
    <col min="12513" max="12513" width="8.69921875" style="2"/>
    <col min="12517" max="12517" width="8.69921875" style="2"/>
    <col min="12521" max="12521" width="8.69921875" style="2"/>
    <col min="12525" max="12525" width="8.69921875" style="2"/>
    <col min="12529" max="12529" width="8.69921875" style="2"/>
    <col min="12533" max="12533" width="8.69921875" style="2"/>
    <col min="12537" max="12537" width="8.69921875" style="2"/>
    <col min="12541" max="12541" width="8.69921875" style="2"/>
    <col min="12545" max="12545" width="8.69921875" style="2"/>
    <col min="12549" max="12549" width="8.69921875" style="2"/>
    <col min="12553" max="12553" width="8.69921875" style="2"/>
    <col min="12557" max="12557" width="8.69921875" style="2"/>
    <col min="12561" max="12561" width="8.69921875" style="2"/>
    <col min="12565" max="12565" width="8.69921875" style="2"/>
    <col min="12569" max="12569" width="8.69921875" style="2"/>
    <col min="12573" max="12573" width="8.69921875" style="2"/>
    <col min="12577" max="12577" width="8.69921875" style="2"/>
    <col min="12581" max="12581" width="8.69921875" style="2"/>
    <col min="12585" max="12585" width="8.69921875" style="2"/>
    <col min="12589" max="12589" width="8.69921875" style="2"/>
    <col min="12593" max="12593" width="8.69921875" style="2"/>
    <col min="12597" max="12597" width="8.69921875" style="2"/>
    <col min="12601" max="12601" width="8.69921875" style="2"/>
    <col min="12605" max="12605" width="8.69921875" style="2"/>
    <col min="12609" max="12609" width="8.69921875" style="2"/>
    <col min="12613" max="12613" width="8.69921875" style="2"/>
    <col min="12617" max="12617" width="8.69921875" style="2"/>
    <col min="12621" max="12621" width="8.69921875" style="2"/>
    <col min="12625" max="12625" width="8.69921875" style="2"/>
    <col min="12629" max="12629" width="8.69921875" style="2"/>
    <col min="12633" max="12633" width="8.69921875" style="2"/>
    <col min="12637" max="12637" width="8.69921875" style="2"/>
    <col min="12641" max="12641" width="8.69921875" style="2"/>
    <col min="12645" max="12645" width="8.69921875" style="2"/>
    <col min="12649" max="12649" width="8.69921875" style="2"/>
    <col min="12653" max="12653" width="8.69921875" style="2"/>
    <col min="12657" max="12657" width="8.69921875" style="2"/>
    <col min="12661" max="12661" width="8.69921875" style="2"/>
    <col min="12665" max="12665" width="8.69921875" style="2"/>
    <col min="12669" max="12669" width="8.69921875" style="2"/>
    <col min="12673" max="12673" width="8.69921875" style="2"/>
    <col min="12677" max="12677" width="8.69921875" style="2"/>
    <col min="12681" max="12681" width="8.69921875" style="2"/>
    <col min="12685" max="12685" width="8.69921875" style="2"/>
    <col min="12689" max="12689" width="8.69921875" style="2"/>
    <col min="12693" max="12693" width="8.69921875" style="2"/>
    <col min="12697" max="12697" width="8.69921875" style="2"/>
    <col min="12701" max="12701" width="8.69921875" style="2"/>
    <col min="12705" max="12705" width="8.69921875" style="2"/>
    <col min="12709" max="12709" width="8.69921875" style="2"/>
    <col min="12713" max="12713" width="8.69921875" style="2"/>
    <col min="12717" max="12717" width="8.69921875" style="2"/>
    <col min="12721" max="12721" width="8.69921875" style="2"/>
    <col min="12725" max="12725" width="8.69921875" style="2"/>
    <col min="12729" max="12729" width="8.69921875" style="2"/>
    <col min="12733" max="12733" width="8.69921875" style="2"/>
    <col min="12737" max="12737" width="8.69921875" style="2"/>
    <col min="12741" max="12741" width="8.69921875" style="2"/>
    <col min="12745" max="12745" width="8.69921875" style="2"/>
    <col min="12749" max="12749" width="8.69921875" style="2"/>
    <col min="12753" max="12753" width="8.69921875" style="2"/>
    <col min="12757" max="12757" width="8.69921875" style="2"/>
    <col min="12761" max="12761" width="8.69921875" style="2"/>
    <col min="12765" max="12765" width="8.69921875" style="2"/>
    <col min="12769" max="12769" width="8.69921875" style="2"/>
    <col min="12773" max="12773" width="8.69921875" style="2"/>
    <col min="12777" max="12777" width="8.69921875" style="2"/>
    <col min="12781" max="12781" width="8.69921875" style="2"/>
    <col min="12785" max="12785" width="8.69921875" style="2"/>
    <col min="12789" max="12789" width="8.69921875" style="2"/>
    <col min="12793" max="12793" width="8.69921875" style="2"/>
    <col min="12797" max="12797" width="8.69921875" style="2"/>
    <col min="12801" max="12801" width="8.69921875" style="2"/>
    <col min="12805" max="12805" width="8.69921875" style="2"/>
    <col min="12809" max="12809" width="8.69921875" style="2"/>
    <col min="12813" max="12813" width="8.69921875" style="2"/>
    <col min="12817" max="12817" width="8.69921875" style="2"/>
    <col min="12821" max="12821" width="8.69921875" style="2"/>
    <col min="12825" max="12825" width="8.69921875" style="2"/>
    <col min="12829" max="12829" width="8.69921875" style="2"/>
    <col min="12833" max="12833" width="8.69921875" style="2"/>
    <col min="12837" max="12837" width="8.69921875" style="2"/>
    <col min="12841" max="12841" width="8.69921875" style="2"/>
    <col min="12845" max="12845" width="8.69921875" style="2"/>
    <col min="12849" max="12849" width="8.69921875" style="2"/>
    <col min="12853" max="12853" width="8.69921875" style="2"/>
    <col min="12857" max="12857" width="8.69921875" style="2"/>
    <col min="12861" max="12861" width="8.69921875" style="2"/>
    <col min="12865" max="12865" width="8.69921875" style="2"/>
    <col min="12869" max="12869" width="8.69921875" style="2"/>
    <col min="12873" max="12873" width="8.69921875" style="2"/>
    <col min="12877" max="12877" width="8.69921875" style="2"/>
    <col min="12881" max="12881" width="8.69921875" style="2"/>
    <col min="12885" max="12885" width="8.69921875" style="2"/>
    <col min="12889" max="12889" width="8.69921875" style="2"/>
    <col min="12893" max="12893" width="8.69921875" style="2"/>
    <col min="12897" max="12897" width="8.69921875" style="2"/>
    <col min="12901" max="12901" width="8.69921875" style="2"/>
    <col min="12905" max="12905" width="8.69921875" style="2"/>
    <col min="12909" max="12909" width="8.69921875" style="2"/>
    <col min="12913" max="12913" width="8.69921875" style="2"/>
    <col min="12917" max="12917" width="8.69921875" style="2"/>
    <col min="12921" max="12921" width="8.69921875" style="2"/>
    <col min="12925" max="12925" width="8.69921875" style="2"/>
    <col min="12929" max="12929" width="8.69921875" style="2"/>
    <col min="12933" max="12933" width="8.69921875" style="2"/>
    <col min="12937" max="12937" width="8.69921875" style="2"/>
    <col min="12941" max="12941" width="8.69921875" style="2"/>
    <col min="12945" max="12945" width="8.69921875" style="2"/>
    <col min="12949" max="12949" width="8.69921875" style="2"/>
    <col min="12953" max="12953" width="8.69921875" style="2"/>
    <col min="12957" max="12957" width="8.69921875" style="2"/>
    <col min="12961" max="12961" width="8.69921875" style="2"/>
    <col min="12965" max="12965" width="8.69921875" style="2"/>
    <col min="12969" max="12969" width="8.69921875" style="2"/>
    <col min="12973" max="12973" width="8.69921875" style="2"/>
    <col min="12977" max="12977" width="8.69921875" style="2"/>
    <col min="12981" max="12981" width="8.69921875" style="2"/>
    <col min="12985" max="12985" width="8.69921875" style="2"/>
    <col min="12989" max="12989" width="8.69921875" style="2"/>
    <col min="12993" max="12993" width="8.69921875" style="2"/>
    <col min="12997" max="12997" width="8.69921875" style="2"/>
    <col min="13001" max="13001" width="8.69921875" style="2"/>
    <col min="13005" max="13005" width="8.69921875" style="2"/>
    <col min="13009" max="13009" width="8.69921875" style="2"/>
    <col min="13013" max="13013" width="8.69921875" style="2"/>
    <col min="13017" max="13017" width="8.69921875" style="2"/>
    <col min="13021" max="13021" width="8.69921875" style="2"/>
    <col min="13025" max="13025" width="8.69921875" style="2"/>
    <col min="13029" max="13029" width="8.69921875" style="2"/>
    <col min="13033" max="13033" width="8.69921875" style="2"/>
    <col min="13037" max="13037" width="8.69921875" style="2"/>
    <col min="13041" max="13041" width="8.69921875" style="2"/>
    <col min="13045" max="13045" width="8.69921875" style="2"/>
    <col min="13049" max="13049" width="8.69921875" style="2"/>
    <col min="13053" max="13053" width="8.69921875" style="2"/>
    <col min="13057" max="13057" width="8.69921875" style="2"/>
    <col min="13061" max="13061" width="8.69921875" style="2"/>
    <col min="13065" max="13065" width="8.69921875" style="2"/>
    <col min="13069" max="13069" width="8.69921875" style="2"/>
    <col min="13073" max="13073" width="8.69921875" style="2"/>
    <col min="13077" max="13077" width="8.69921875" style="2"/>
    <col min="13081" max="13081" width="8.69921875" style="2"/>
    <col min="13085" max="13085" width="8.69921875" style="2"/>
    <col min="13089" max="13089" width="8.69921875" style="2"/>
    <col min="13093" max="13093" width="8.69921875" style="2"/>
    <col min="13097" max="13097" width="8.69921875" style="2"/>
    <col min="13101" max="13101" width="8.69921875" style="2"/>
    <col min="13105" max="13105" width="8.69921875" style="2"/>
    <col min="13109" max="13109" width="8.69921875" style="2"/>
    <col min="13113" max="13113" width="8.69921875" style="2"/>
    <col min="13117" max="13117" width="8.69921875" style="2"/>
    <col min="13121" max="13121" width="8.69921875" style="2"/>
    <col min="13125" max="13125" width="8.69921875" style="2"/>
    <col min="13129" max="13129" width="8.69921875" style="2"/>
    <col min="13133" max="13133" width="8.69921875" style="2"/>
    <col min="13137" max="13137" width="8.69921875" style="2"/>
    <col min="13141" max="13141" width="8.69921875" style="2"/>
    <col min="13145" max="13145" width="8.69921875" style="2"/>
    <col min="13149" max="13149" width="8.69921875" style="2"/>
    <col min="13153" max="13153" width="8.69921875" style="2"/>
    <col min="13157" max="13157" width="8.69921875" style="2"/>
    <col min="13161" max="13161" width="8.69921875" style="2"/>
    <col min="13165" max="13165" width="8.69921875" style="2"/>
    <col min="13169" max="13169" width="8.69921875" style="2"/>
    <col min="13173" max="13173" width="8.69921875" style="2"/>
    <col min="13177" max="13177" width="8.69921875" style="2"/>
    <col min="13181" max="13181" width="8.69921875" style="2"/>
    <col min="13185" max="13185" width="8.69921875" style="2"/>
    <col min="13189" max="13189" width="8.69921875" style="2"/>
    <col min="13193" max="13193" width="8.69921875" style="2"/>
    <col min="13197" max="13197" width="8.69921875" style="2"/>
    <col min="13201" max="13201" width="8.69921875" style="2"/>
    <col min="13205" max="13205" width="8.69921875" style="2"/>
    <col min="13209" max="13209" width="8.69921875" style="2"/>
    <col min="13213" max="13213" width="8.69921875" style="2"/>
    <col min="13217" max="13217" width="8.69921875" style="2"/>
    <col min="13221" max="13221" width="8.69921875" style="2"/>
    <col min="13225" max="13225" width="8.69921875" style="2"/>
    <col min="13229" max="13229" width="8.69921875" style="2"/>
    <col min="13233" max="13233" width="8.69921875" style="2"/>
    <col min="13237" max="13237" width="8.69921875" style="2"/>
    <col min="13241" max="13241" width="8.69921875" style="2"/>
    <col min="13245" max="13245" width="8.69921875" style="2"/>
    <col min="13249" max="13249" width="8.69921875" style="2"/>
    <col min="13253" max="13253" width="8.69921875" style="2"/>
    <col min="13257" max="13257" width="8.69921875" style="2"/>
    <col min="13261" max="13261" width="8.69921875" style="2"/>
    <col min="13265" max="13265" width="8.69921875" style="2"/>
    <col min="13269" max="13269" width="8.69921875" style="2"/>
    <col min="13273" max="13273" width="8.69921875" style="2"/>
    <col min="13277" max="13277" width="8.69921875" style="2"/>
    <col min="13281" max="13281" width="8.69921875" style="2"/>
    <col min="13285" max="13285" width="8.69921875" style="2"/>
    <col min="13289" max="13289" width="8.69921875" style="2"/>
    <col min="13293" max="13293" width="8.69921875" style="2"/>
    <col min="13297" max="13297" width="8.69921875" style="2"/>
    <col min="13301" max="13301" width="8.69921875" style="2"/>
    <col min="13305" max="13305" width="8.69921875" style="2"/>
    <col min="13309" max="13309" width="8.69921875" style="2"/>
    <col min="13313" max="13313" width="8.69921875" style="2"/>
    <col min="13317" max="13317" width="8.69921875" style="2"/>
    <col min="13321" max="13321" width="8.69921875" style="2"/>
    <col min="13325" max="13325" width="8.69921875" style="2"/>
    <col min="13329" max="13329" width="8.69921875" style="2"/>
    <col min="13333" max="13333" width="8.69921875" style="2"/>
    <col min="13337" max="13337" width="8.69921875" style="2"/>
    <col min="13341" max="13341" width="8.69921875" style="2"/>
    <col min="13345" max="13345" width="8.69921875" style="2"/>
    <col min="13349" max="13349" width="8.69921875" style="2"/>
    <col min="13353" max="13353" width="8.69921875" style="2"/>
    <col min="13357" max="13357" width="8.69921875" style="2"/>
    <col min="13361" max="13361" width="8.69921875" style="2"/>
    <col min="13365" max="13365" width="8.69921875" style="2"/>
    <col min="13369" max="13369" width="8.69921875" style="2"/>
    <col min="13373" max="13373" width="8.69921875" style="2"/>
    <col min="13377" max="13377" width="8.69921875" style="2"/>
    <col min="13381" max="13381" width="8.69921875" style="2"/>
    <col min="13385" max="13385" width="8.69921875" style="2"/>
    <col min="13389" max="13389" width="8.69921875" style="2"/>
    <col min="13393" max="13393" width="8.69921875" style="2"/>
    <col min="13397" max="13397" width="8.69921875" style="2"/>
    <col min="13401" max="13401" width="8.69921875" style="2"/>
    <col min="13405" max="13405" width="8.69921875" style="2"/>
    <col min="13409" max="13409" width="8.69921875" style="2"/>
    <col min="13413" max="13413" width="8.69921875" style="2"/>
    <col min="13417" max="13417" width="8.69921875" style="2"/>
    <col min="13421" max="13421" width="8.69921875" style="2"/>
    <col min="13425" max="13425" width="8.69921875" style="2"/>
    <col min="13429" max="13429" width="8.69921875" style="2"/>
    <col min="13433" max="13433" width="8.69921875" style="2"/>
    <col min="13437" max="13437" width="8.69921875" style="2"/>
    <col min="13441" max="13441" width="8.69921875" style="2"/>
    <col min="13445" max="13445" width="8.69921875" style="2"/>
    <col min="13449" max="13449" width="8.69921875" style="2"/>
    <col min="13453" max="13453" width="8.69921875" style="2"/>
    <col min="13457" max="13457" width="8.69921875" style="2"/>
    <col min="13461" max="13461" width="8.69921875" style="2"/>
    <col min="13465" max="13465" width="8.69921875" style="2"/>
    <col min="13469" max="13469" width="8.69921875" style="2"/>
    <col min="13473" max="13473" width="8.69921875" style="2"/>
    <col min="13477" max="13477" width="8.69921875" style="2"/>
    <col min="13481" max="13481" width="8.69921875" style="2"/>
    <col min="13485" max="13485" width="8.69921875" style="2"/>
    <col min="13489" max="13489" width="8.69921875" style="2"/>
    <col min="13493" max="13493" width="8.69921875" style="2"/>
    <col min="13497" max="13497" width="8.69921875" style="2"/>
    <col min="13501" max="13501" width="8.69921875" style="2"/>
    <col min="13505" max="13505" width="8.69921875" style="2"/>
    <col min="13509" max="13509" width="8.69921875" style="2"/>
    <col min="13513" max="13513" width="8.69921875" style="2"/>
    <col min="13517" max="13517" width="8.69921875" style="2"/>
    <col min="13521" max="13521" width="8.69921875" style="2"/>
    <col min="13525" max="13525" width="8.69921875" style="2"/>
    <col min="13529" max="13529" width="8.69921875" style="2"/>
    <col min="13533" max="13533" width="8.69921875" style="2"/>
    <col min="13537" max="13537" width="8.69921875" style="2"/>
    <col min="13541" max="13541" width="8.69921875" style="2"/>
    <col min="13545" max="13545" width="8.69921875" style="2"/>
    <col min="13549" max="13549" width="8.69921875" style="2"/>
    <col min="13553" max="13553" width="8.69921875" style="2"/>
    <col min="13557" max="13557" width="8.69921875" style="2"/>
    <col min="13561" max="13561" width="8.69921875" style="2"/>
    <col min="13565" max="13565" width="8.69921875" style="2"/>
    <col min="13569" max="13569" width="8.69921875" style="2"/>
    <col min="13573" max="13573" width="8.69921875" style="2"/>
    <col min="13577" max="13577" width="8.69921875" style="2"/>
    <col min="13581" max="13581" width="8.69921875" style="2"/>
    <col min="13585" max="13585" width="8.69921875" style="2"/>
    <col min="13589" max="13589" width="8.69921875" style="2"/>
    <col min="13593" max="13593" width="8.69921875" style="2"/>
    <col min="13597" max="13597" width="8.69921875" style="2"/>
    <col min="13601" max="13601" width="8.69921875" style="2"/>
    <col min="13605" max="13605" width="8.69921875" style="2"/>
    <col min="13609" max="13609" width="8.69921875" style="2"/>
    <col min="13613" max="13613" width="8.69921875" style="2"/>
    <col min="13617" max="13617" width="8.69921875" style="2"/>
    <col min="13621" max="13621" width="8.69921875" style="2"/>
    <col min="13625" max="13625" width="8.69921875" style="2"/>
    <col min="13629" max="13629" width="8.69921875" style="2"/>
    <col min="13633" max="13633" width="8.69921875" style="2"/>
    <col min="13637" max="13637" width="8.69921875" style="2"/>
    <col min="13641" max="13641" width="8.69921875" style="2"/>
    <col min="13645" max="13645" width="8.69921875" style="2"/>
    <col min="13649" max="13649" width="8.69921875" style="2"/>
    <col min="13653" max="13653" width="8.69921875" style="2"/>
    <col min="13657" max="13657" width="8.69921875" style="2"/>
    <col min="13661" max="13661" width="8.69921875" style="2"/>
    <col min="13665" max="13665" width="8.69921875" style="2"/>
    <col min="13669" max="13669" width="8.69921875" style="2"/>
    <col min="13673" max="13673" width="8.69921875" style="2"/>
    <col min="13677" max="13677" width="8.69921875" style="2"/>
    <col min="13681" max="13681" width="8.69921875" style="2"/>
    <col min="13685" max="13685" width="8.69921875" style="2"/>
    <col min="13689" max="13689" width="8.69921875" style="2"/>
    <col min="13693" max="13693" width="8.69921875" style="2"/>
    <col min="13697" max="13697" width="8.69921875" style="2"/>
    <col min="13701" max="13701" width="8.69921875" style="2"/>
    <col min="13705" max="13705" width="8.69921875" style="2"/>
    <col min="13709" max="13709" width="8.69921875" style="2"/>
    <col min="13713" max="13713" width="8.69921875" style="2"/>
    <col min="13717" max="13717" width="8.69921875" style="2"/>
    <col min="13721" max="13721" width="8.69921875" style="2"/>
    <col min="13725" max="13725" width="8.69921875" style="2"/>
    <col min="13729" max="13729" width="8.69921875" style="2"/>
    <col min="13733" max="13733" width="8.69921875" style="2"/>
    <col min="13737" max="13737" width="8.69921875" style="2"/>
    <col min="13741" max="13741" width="8.69921875" style="2"/>
    <col min="13745" max="13745" width="8.69921875" style="2"/>
    <col min="13749" max="13749" width="8.69921875" style="2"/>
    <col min="13753" max="13753" width="8.69921875" style="2"/>
    <col min="13757" max="13757" width="8.69921875" style="2"/>
    <col min="13761" max="13761" width="8.69921875" style="2"/>
    <col min="13765" max="13765" width="8.69921875" style="2"/>
    <col min="13769" max="13769" width="8.69921875" style="2"/>
    <col min="13773" max="13773" width="8.69921875" style="2"/>
    <col min="13777" max="13777" width="8.69921875" style="2"/>
    <col min="13781" max="13781" width="8.69921875" style="2"/>
    <col min="13785" max="13785" width="8.69921875" style="2"/>
    <col min="13789" max="13789" width="8.69921875" style="2"/>
    <col min="13793" max="13793" width="8.69921875" style="2"/>
    <col min="13797" max="13797" width="8.69921875" style="2"/>
    <col min="13801" max="13801" width="8.69921875" style="2"/>
    <col min="13805" max="13805" width="8.69921875" style="2"/>
    <col min="13809" max="13809" width="8.69921875" style="2"/>
    <col min="13813" max="13813" width="8.69921875" style="2"/>
    <col min="13817" max="13817" width="8.69921875" style="2"/>
    <col min="13821" max="13821" width="8.69921875" style="2"/>
    <col min="13825" max="13825" width="8.69921875" style="2"/>
    <col min="13829" max="13829" width="8.69921875" style="2"/>
    <col min="13833" max="13833" width="8.69921875" style="2"/>
    <col min="13837" max="13837" width="8.69921875" style="2"/>
    <col min="13841" max="13841" width="8.69921875" style="2"/>
    <col min="13845" max="13845" width="8.69921875" style="2"/>
    <col min="13849" max="13849" width="8.69921875" style="2"/>
    <col min="13853" max="13853" width="8.69921875" style="2"/>
    <col min="13857" max="13857" width="8.69921875" style="2"/>
    <col min="13861" max="13861" width="8.69921875" style="2"/>
    <col min="13865" max="13865" width="8.69921875" style="2"/>
    <col min="13869" max="13869" width="8.69921875" style="2"/>
    <col min="13873" max="13873" width="8.69921875" style="2"/>
    <col min="13877" max="13877" width="8.69921875" style="2"/>
    <col min="13881" max="13881" width="8.69921875" style="2"/>
    <col min="13885" max="13885" width="8.69921875" style="2"/>
    <col min="13889" max="13889" width="8.69921875" style="2"/>
    <col min="13893" max="13893" width="8.69921875" style="2"/>
    <col min="13897" max="13897" width="8.69921875" style="2"/>
    <col min="13901" max="13901" width="8.69921875" style="2"/>
    <col min="13905" max="13905" width="8.69921875" style="2"/>
    <col min="13909" max="13909" width="8.69921875" style="2"/>
    <col min="13913" max="13913" width="8.69921875" style="2"/>
    <col min="13917" max="13917" width="8.69921875" style="2"/>
    <col min="13921" max="13921" width="8.69921875" style="2"/>
    <col min="13925" max="13925" width="8.69921875" style="2"/>
    <col min="13929" max="13929" width="8.69921875" style="2"/>
    <col min="13933" max="13933" width="8.69921875" style="2"/>
    <col min="13937" max="13937" width="8.69921875" style="2"/>
    <col min="13941" max="13941" width="8.69921875" style="2"/>
    <col min="13945" max="13945" width="8.69921875" style="2"/>
    <col min="13949" max="13949" width="8.69921875" style="2"/>
    <col min="13953" max="13953" width="8.69921875" style="2"/>
    <col min="13957" max="13957" width="8.69921875" style="2"/>
    <col min="13961" max="13961" width="8.69921875" style="2"/>
    <col min="13965" max="13965" width="8.69921875" style="2"/>
    <col min="13969" max="13969" width="8.69921875" style="2"/>
    <col min="13973" max="13973" width="8.69921875" style="2"/>
    <col min="13977" max="13977" width="8.69921875" style="2"/>
    <col min="13981" max="13981" width="8.69921875" style="2"/>
    <col min="13985" max="13985" width="8.69921875" style="2"/>
    <col min="13989" max="13989" width="8.69921875" style="2"/>
    <col min="13993" max="13993" width="8.69921875" style="2"/>
    <col min="13997" max="13997" width="8.69921875" style="2"/>
    <col min="14001" max="14001" width="8.69921875" style="2"/>
    <col min="14005" max="14005" width="8.69921875" style="2"/>
    <col min="14009" max="14009" width="8.69921875" style="2"/>
    <col min="14013" max="14013" width="8.69921875" style="2"/>
    <col min="14017" max="14017" width="8.69921875" style="2"/>
    <col min="14021" max="14021" width="8.69921875" style="2"/>
    <col min="14025" max="14025" width="8.69921875" style="2"/>
    <col min="14029" max="14029" width="8.69921875" style="2"/>
    <col min="14033" max="14033" width="8.69921875" style="2"/>
    <col min="14037" max="14037" width="8.69921875" style="2"/>
    <col min="14041" max="14041" width="8.69921875" style="2"/>
    <col min="14045" max="14045" width="8.69921875" style="2"/>
    <col min="14049" max="14049" width="8.69921875" style="2"/>
    <col min="14053" max="14053" width="8.69921875" style="2"/>
    <col min="14057" max="14057" width="8.69921875" style="2"/>
    <col min="14061" max="14061" width="8.69921875" style="2"/>
    <col min="14065" max="14065" width="8.69921875" style="2"/>
    <col min="14069" max="14069" width="8.69921875" style="2"/>
    <col min="14073" max="14073" width="8.69921875" style="2"/>
    <col min="14077" max="14077" width="8.69921875" style="2"/>
    <col min="14081" max="14081" width="8.69921875" style="2"/>
    <col min="14085" max="14085" width="8.69921875" style="2"/>
    <col min="14089" max="14089" width="8.69921875" style="2"/>
    <col min="14093" max="14093" width="8.69921875" style="2"/>
    <col min="14097" max="14097" width="8.69921875" style="2"/>
    <col min="14101" max="14101" width="8.69921875" style="2"/>
    <col min="14105" max="14105" width="8.69921875" style="2"/>
    <col min="14109" max="14109" width="8.69921875" style="2"/>
    <col min="14113" max="14113" width="8.69921875" style="2"/>
    <col min="14117" max="14117" width="8.69921875" style="2"/>
    <col min="14121" max="14121" width="8.69921875" style="2"/>
    <col min="14125" max="14125" width="8.69921875" style="2"/>
    <col min="14129" max="14129" width="8.69921875" style="2"/>
    <col min="14133" max="14133" width="8.69921875" style="2"/>
    <col min="14137" max="14137" width="8.69921875" style="2"/>
    <col min="14141" max="14141" width="8.69921875" style="2"/>
    <col min="14145" max="14145" width="8.69921875" style="2"/>
    <col min="14149" max="14149" width="8.69921875" style="2"/>
    <col min="14153" max="14153" width="8.69921875" style="2"/>
    <col min="14157" max="14157" width="8.69921875" style="2"/>
    <col min="14161" max="14161" width="8.69921875" style="2"/>
    <col min="14165" max="14165" width="8.69921875" style="2"/>
    <col min="14169" max="14169" width="8.69921875" style="2"/>
    <col min="14173" max="14173" width="8.69921875" style="2"/>
    <col min="14177" max="14177" width="8.69921875" style="2"/>
    <col min="14181" max="14181" width="8.69921875" style="2"/>
    <col min="14185" max="14185" width="8.69921875" style="2"/>
    <col min="14189" max="14189" width="8.69921875" style="2"/>
    <col min="14193" max="14193" width="8.69921875" style="2"/>
    <col min="14197" max="14197" width="8.69921875" style="2"/>
    <col min="14201" max="14201" width="8.69921875" style="2"/>
    <col min="14205" max="14205" width="8.69921875" style="2"/>
    <col min="14209" max="14209" width="8.69921875" style="2"/>
    <col min="14213" max="14213" width="8.69921875" style="2"/>
    <col min="14217" max="14217" width="8.69921875" style="2"/>
    <col min="14221" max="14221" width="8.69921875" style="2"/>
    <col min="14225" max="14225" width="8.69921875" style="2"/>
    <col min="14229" max="14229" width="8.69921875" style="2"/>
    <col min="14233" max="14233" width="8.69921875" style="2"/>
    <col min="14237" max="14237" width="8.69921875" style="2"/>
    <col min="14241" max="14241" width="8.69921875" style="2"/>
    <col min="14245" max="14245" width="8.69921875" style="2"/>
    <col min="14249" max="14249" width="8.69921875" style="2"/>
    <col min="14253" max="14253" width="8.69921875" style="2"/>
    <col min="14257" max="14257" width="8.69921875" style="2"/>
    <col min="14261" max="14261" width="8.69921875" style="2"/>
    <col min="14265" max="14265" width="8.69921875" style="2"/>
    <col min="14269" max="14269" width="8.69921875" style="2"/>
    <col min="14273" max="14273" width="8.69921875" style="2"/>
    <col min="14277" max="14277" width="8.69921875" style="2"/>
    <col min="14281" max="14281" width="8.69921875" style="2"/>
    <col min="14285" max="14285" width="8.69921875" style="2"/>
    <col min="14289" max="14289" width="8.69921875" style="2"/>
    <col min="14293" max="14293" width="8.69921875" style="2"/>
    <col min="14297" max="14297" width="8.69921875" style="2"/>
    <col min="14301" max="14301" width="8.69921875" style="2"/>
    <col min="14305" max="14305" width="8.69921875" style="2"/>
    <col min="14309" max="14309" width="8.69921875" style="2"/>
    <col min="14313" max="14313" width="8.69921875" style="2"/>
    <col min="14317" max="14317" width="8.69921875" style="2"/>
    <col min="14321" max="14321" width="8.69921875" style="2"/>
    <col min="14325" max="14325" width="8.69921875" style="2"/>
    <col min="14329" max="14329" width="8.69921875" style="2"/>
    <col min="14333" max="14333" width="8.69921875" style="2"/>
    <col min="14337" max="14337" width="8.69921875" style="2"/>
    <col min="14341" max="14341" width="8.69921875" style="2"/>
    <col min="14345" max="14345" width="8.69921875" style="2"/>
    <col min="14349" max="14349" width="8.69921875" style="2"/>
    <col min="14353" max="14353" width="8.69921875" style="2"/>
    <col min="14357" max="14357" width="8.69921875" style="2"/>
    <col min="14361" max="14361" width="8.69921875" style="2"/>
    <col min="14365" max="14365" width="8.69921875" style="2"/>
    <col min="14369" max="14369" width="8.69921875" style="2"/>
    <col min="14373" max="14373" width="8.69921875" style="2"/>
    <col min="14377" max="14377" width="8.69921875" style="2"/>
    <col min="14381" max="14381" width="8.69921875" style="2"/>
    <col min="14385" max="14385" width="8.69921875" style="2"/>
    <col min="14389" max="14389" width="8.69921875" style="2"/>
    <col min="14393" max="14393" width="8.69921875" style="2"/>
    <col min="14397" max="14397" width="8.69921875" style="2"/>
    <col min="14401" max="14401" width="8.69921875" style="2"/>
    <col min="14405" max="14405" width="8.69921875" style="2"/>
    <col min="14409" max="14409" width="8.69921875" style="2"/>
    <col min="14413" max="14413" width="8.69921875" style="2"/>
    <col min="14417" max="14417" width="8.69921875" style="2"/>
    <col min="14421" max="14421" width="8.69921875" style="2"/>
    <col min="14425" max="14425" width="8.69921875" style="2"/>
    <col min="14429" max="14429" width="8.69921875" style="2"/>
    <col min="14433" max="14433" width="8.69921875" style="2"/>
    <col min="14437" max="14437" width="8.69921875" style="2"/>
    <col min="14441" max="14441" width="8.69921875" style="2"/>
    <col min="14445" max="14445" width="8.69921875" style="2"/>
    <col min="14449" max="14449" width="8.69921875" style="2"/>
    <col min="14453" max="14453" width="8.69921875" style="2"/>
    <col min="14457" max="14457" width="8.69921875" style="2"/>
    <col min="14461" max="14461" width="8.69921875" style="2"/>
    <col min="14465" max="14465" width="8.69921875" style="2"/>
    <col min="14469" max="14469" width="8.69921875" style="2"/>
    <col min="14473" max="14473" width="8.69921875" style="2"/>
    <col min="14477" max="14477" width="8.69921875" style="2"/>
    <col min="14481" max="14481" width="8.69921875" style="2"/>
    <col min="14485" max="14485" width="8.69921875" style="2"/>
    <col min="14489" max="14489" width="8.69921875" style="2"/>
    <col min="14493" max="14493" width="8.69921875" style="2"/>
    <col min="14497" max="14497" width="8.69921875" style="2"/>
    <col min="14501" max="14501" width="8.69921875" style="2"/>
    <col min="14505" max="14505" width="8.69921875" style="2"/>
    <col min="14509" max="14509" width="8.69921875" style="2"/>
    <col min="14513" max="14513" width="8.69921875" style="2"/>
    <col min="14517" max="14517" width="8.69921875" style="2"/>
    <col min="14521" max="14521" width="8.69921875" style="2"/>
    <col min="14525" max="14525" width="8.69921875" style="2"/>
    <col min="14529" max="14529" width="8.69921875" style="2"/>
    <col min="14533" max="14533" width="8.69921875" style="2"/>
    <col min="14537" max="14537" width="8.69921875" style="2"/>
    <col min="14541" max="14541" width="8.69921875" style="2"/>
    <col min="14545" max="14545" width="8.69921875" style="2"/>
    <col min="14549" max="14549" width="8.69921875" style="2"/>
    <col min="14553" max="14553" width="8.69921875" style="2"/>
    <col min="14557" max="14557" width="8.69921875" style="2"/>
    <col min="14561" max="14561" width="8.69921875" style="2"/>
    <col min="14565" max="14565" width="8.69921875" style="2"/>
    <col min="14569" max="14569" width="8.69921875" style="2"/>
    <col min="14573" max="14573" width="8.69921875" style="2"/>
    <col min="14577" max="14577" width="8.69921875" style="2"/>
    <col min="14581" max="14581" width="8.69921875" style="2"/>
    <col min="14585" max="14585" width="8.69921875" style="2"/>
    <col min="14589" max="14589" width="8.69921875" style="2"/>
    <col min="14593" max="14593" width="8.69921875" style="2"/>
    <col min="14597" max="14597" width="8.69921875" style="2"/>
    <col min="14601" max="14601" width="8.69921875" style="2"/>
    <col min="14605" max="14605" width="8.69921875" style="2"/>
    <col min="14609" max="14609" width="8.69921875" style="2"/>
    <col min="14613" max="14613" width="8.69921875" style="2"/>
    <col min="14617" max="14617" width="8.69921875" style="2"/>
    <col min="14621" max="14621" width="8.69921875" style="2"/>
    <col min="14625" max="14625" width="8.69921875" style="2"/>
    <col min="14629" max="14629" width="8.69921875" style="2"/>
    <col min="14633" max="14633" width="8.69921875" style="2"/>
    <col min="14637" max="14637" width="8.69921875" style="2"/>
    <col min="14641" max="14641" width="8.69921875" style="2"/>
    <col min="14645" max="14645" width="8.69921875" style="2"/>
    <col min="14649" max="14649" width="8.69921875" style="2"/>
    <col min="14653" max="14653" width="8.69921875" style="2"/>
    <col min="14657" max="14657" width="8.69921875" style="2"/>
    <col min="14661" max="14661" width="8.69921875" style="2"/>
    <col min="14665" max="14665" width="8.69921875" style="2"/>
    <col min="14669" max="14669" width="8.69921875" style="2"/>
    <col min="14673" max="14673" width="8.69921875" style="2"/>
    <col min="14677" max="14677" width="8.69921875" style="2"/>
    <col min="14681" max="14681" width="8.69921875" style="2"/>
    <col min="14685" max="14685" width="8.69921875" style="2"/>
    <col min="14689" max="14689" width="8.69921875" style="2"/>
    <col min="14693" max="14693" width="8.69921875" style="2"/>
    <col min="14697" max="14697" width="8.69921875" style="2"/>
    <col min="14701" max="14701" width="8.69921875" style="2"/>
    <col min="14705" max="14705" width="8.69921875" style="2"/>
    <col min="14709" max="14709" width="8.69921875" style="2"/>
    <col min="14713" max="14713" width="8.69921875" style="2"/>
    <col min="14717" max="14717" width="8.69921875" style="2"/>
    <col min="14721" max="14721" width="8.69921875" style="2"/>
    <col min="14725" max="14725" width="8.69921875" style="2"/>
    <col min="14729" max="14729" width="8.69921875" style="2"/>
    <col min="14733" max="14733" width="8.69921875" style="2"/>
    <col min="14737" max="14737" width="8.69921875" style="2"/>
    <col min="14741" max="14741" width="8.69921875" style="2"/>
    <col min="14745" max="14745" width="8.69921875" style="2"/>
    <col min="14749" max="14749" width="8.69921875" style="2"/>
    <col min="14753" max="14753" width="8.69921875" style="2"/>
    <col min="14757" max="14757" width="8.69921875" style="2"/>
    <col min="14761" max="14761" width="8.69921875" style="2"/>
    <col min="14765" max="14765" width="8.69921875" style="2"/>
    <col min="14769" max="14769" width="8.69921875" style="2"/>
    <col min="14773" max="14773" width="8.69921875" style="2"/>
    <col min="14777" max="14777" width="8.69921875" style="2"/>
    <col min="14781" max="14781" width="8.69921875" style="2"/>
    <col min="14785" max="14785" width="8.69921875" style="2"/>
    <col min="14789" max="14789" width="8.69921875" style="2"/>
    <col min="14793" max="14793" width="8.69921875" style="2"/>
    <col min="14797" max="14797" width="8.69921875" style="2"/>
    <col min="14801" max="14801" width="8.69921875" style="2"/>
    <col min="14805" max="14805" width="8.69921875" style="2"/>
    <col min="14809" max="14809" width="8.69921875" style="2"/>
    <col min="14813" max="14813" width="8.69921875" style="2"/>
    <col min="14817" max="14817" width="8.69921875" style="2"/>
    <col min="14821" max="14821" width="8.69921875" style="2"/>
    <col min="14825" max="14825" width="8.69921875" style="2"/>
    <col min="14829" max="14829" width="8.69921875" style="2"/>
    <col min="14833" max="14833" width="8.69921875" style="2"/>
    <col min="14837" max="14837" width="8.69921875" style="2"/>
    <col min="14841" max="14841" width="8.69921875" style="2"/>
    <col min="14845" max="14845" width="8.69921875" style="2"/>
    <col min="14849" max="14849" width="8.69921875" style="2"/>
    <col min="14853" max="14853" width="8.69921875" style="2"/>
    <col min="14857" max="14857" width="8.69921875" style="2"/>
    <col min="14861" max="14861" width="8.69921875" style="2"/>
    <col min="14865" max="14865" width="8.69921875" style="2"/>
    <col min="14869" max="14869" width="8.69921875" style="2"/>
    <col min="14873" max="14873" width="8.69921875" style="2"/>
    <col min="14877" max="14877" width="8.69921875" style="2"/>
    <col min="14881" max="14881" width="8.69921875" style="2"/>
    <col min="14885" max="14885" width="8.69921875" style="2"/>
    <col min="14889" max="14889" width="8.69921875" style="2"/>
    <col min="14893" max="14893" width="8.69921875" style="2"/>
    <col min="14897" max="14897" width="8.69921875" style="2"/>
    <col min="14901" max="14901" width="8.69921875" style="2"/>
    <col min="14905" max="14905" width="8.69921875" style="2"/>
    <col min="14909" max="14909" width="8.69921875" style="2"/>
    <col min="14913" max="14913" width="8.69921875" style="2"/>
    <col min="14917" max="14917" width="8.69921875" style="2"/>
    <col min="14921" max="14921" width="8.69921875" style="2"/>
    <col min="14925" max="14925" width="8.69921875" style="2"/>
    <col min="14929" max="14929" width="8.69921875" style="2"/>
    <col min="14933" max="14933" width="8.69921875" style="2"/>
    <col min="14937" max="14937" width="8.69921875" style="2"/>
    <col min="14941" max="14941" width="8.69921875" style="2"/>
    <col min="14945" max="14945" width="8.69921875" style="2"/>
    <col min="14949" max="14949" width="8.69921875" style="2"/>
    <col min="14953" max="14953" width="8.69921875" style="2"/>
    <col min="14957" max="14957" width="8.69921875" style="2"/>
    <col min="14961" max="14961" width="8.69921875" style="2"/>
    <col min="14965" max="14965" width="8.69921875" style="2"/>
    <col min="14969" max="14969" width="8.69921875" style="2"/>
    <col min="14973" max="14973" width="8.69921875" style="2"/>
    <col min="14977" max="14977" width="8.69921875" style="2"/>
    <col min="14981" max="14981" width="8.69921875" style="2"/>
    <col min="14985" max="14985" width="8.69921875" style="2"/>
    <col min="14989" max="14989" width="8.69921875" style="2"/>
    <col min="14993" max="14993" width="8.69921875" style="2"/>
    <col min="14997" max="14997" width="8.69921875" style="2"/>
    <col min="15001" max="15001" width="8.69921875" style="2"/>
    <col min="15005" max="15005" width="8.69921875" style="2"/>
    <col min="15009" max="15009" width="8.69921875" style="2"/>
    <col min="15013" max="15013" width="8.69921875" style="2"/>
    <col min="15017" max="15017" width="8.69921875" style="2"/>
    <col min="15021" max="15021" width="8.69921875" style="2"/>
    <col min="15025" max="15025" width="8.69921875" style="2"/>
    <col min="15029" max="15029" width="8.69921875" style="2"/>
    <col min="15033" max="15033" width="8.69921875" style="2"/>
    <col min="15037" max="15037" width="8.69921875" style="2"/>
    <col min="15041" max="15041" width="8.69921875" style="2"/>
    <col min="15045" max="15045" width="8.69921875" style="2"/>
    <col min="15049" max="15049" width="8.69921875" style="2"/>
    <col min="15053" max="15053" width="8.69921875" style="2"/>
    <col min="15057" max="15057" width="8.69921875" style="2"/>
    <col min="15061" max="15061" width="8.69921875" style="2"/>
    <col min="15065" max="15065" width="8.69921875" style="2"/>
    <col min="15069" max="15069" width="8.69921875" style="2"/>
    <col min="15073" max="15073" width="8.69921875" style="2"/>
    <col min="15077" max="15077" width="8.69921875" style="2"/>
    <col min="15081" max="15081" width="8.69921875" style="2"/>
    <col min="15085" max="15085" width="8.69921875" style="2"/>
    <col min="15089" max="15089" width="8.69921875" style="2"/>
    <col min="15093" max="15093" width="8.69921875" style="2"/>
    <col min="15097" max="15097" width="8.69921875" style="2"/>
    <col min="15101" max="15101" width="8.69921875" style="2"/>
    <col min="15105" max="15105" width="8.69921875" style="2"/>
    <col min="15109" max="15109" width="8.69921875" style="2"/>
    <col min="15113" max="15113" width="8.69921875" style="2"/>
    <col min="15117" max="15117" width="8.69921875" style="2"/>
    <col min="15121" max="15121" width="8.69921875" style="2"/>
    <col min="15125" max="15125" width="8.69921875" style="2"/>
    <col min="15129" max="15129" width="8.69921875" style="2"/>
    <col min="15133" max="15133" width="8.69921875" style="2"/>
    <col min="15137" max="15137" width="8.69921875" style="2"/>
    <col min="15141" max="15141" width="8.69921875" style="2"/>
    <col min="15145" max="15145" width="8.69921875" style="2"/>
    <col min="15149" max="15149" width="8.69921875" style="2"/>
    <col min="15153" max="15153" width="8.69921875" style="2"/>
    <col min="15157" max="15157" width="8.69921875" style="2"/>
    <col min="15161" max="15161" width="8.69921875" style="2"/>
    <col min="15165" max="15165" width="8.69921875" style="2"/>
    <col min="15169" max="15169" width="8.69921875" style="2"/>
    <col min="15173" max="15173" width="8.69921875" style="2"/>
    <col min="15177" max="15177" width="8.69921875" style="2"/>
    <col min="15181" max="15181" width="8.69921875" style="2"/>
    <col min="15185" max="15185" width="8.69921875" style="2"/>
    <col min="15189" max="15189" width="8.69921875" style="2"/>
    <col min="15193" max="15193" width="8.69921875" style="2"/>
    <col min="15197" max="15197" width="8.69921875" style="2"/>
    <col min="15201" max="15201" width="8.69921875" style="2"/>
    <col min="15205" max="15205" width="8.69921875" style="2"/>
    <col min="15209" max="15209" width="8.69921875" style="2"/>
    <col min="15213" max="15213" width="8.69921875" style="2"/>
    <col min="15217" max="15217" width="8.69921875" style="2"/>
    <col min="15221" max="15221" width="8.69921875" style="2"/>
    <col min="15225" max="15225" width="8.69921875" style="2"/>
    <col min="15229" max="15229" width="8.69921875" style="2"/>
    <col min="15233" max="15233" width="8.69921875" style="2"/>
    <col min="15237" max="15237" width="8.69921875" style="2"/>
    <col min="15241" max="15241" width="8.69921875" style="2"/>
    <col min="15245" max="15245" width="8.69921875" style="2"/>
    <col min="15249" max="15249" width="8.69921875" style="2"/>
    <col min="15253" max="15253" width="8.69921875" style="2"/>
    <col min="15257" max="15257" width="8.69921875" style="2"/>
    <col min="15261" max="15261" width="8.69921875" style="2"/>
    <col min="15265" max="15265" width="8.69921875" style="2"/>
    <col min="15269" max="15269" width="8.69921875" style="2"/>
    <col min="15273" max="15273" width="8.69921875" style="2"/>
    <col min="15277" max="15277" width="8.69921875" style="2"/>
    <col min="15281" max="15281" width="8.69921875" style="2"/>
    <col min="15285" max="15285" width="8.69921875" style="2"/>
    <col min="15289" max="15289" width="8.69921875" style="2"/>
    <col min="15293" max="15293" width="8.69921875" style="2"/>
    <col min="15297" max="15297" width="8.69921875" style="2"/>
    <col min="15301" max="15301" width="8.69921875" style="2"/>
    <col min="15305" max="15305" width="8.69921875" style="2"/>
    <col min="15309" max="15309" width="8.69921875" style="2"/>
    <col min="15313" max="15313" width="8.69921875" style="2"/>
    <col min="15317" max="15317" width="8.69921875" style="2"/>
    <col min="15321" max="15321" width="8.69921875" style="2"/>
    <col min="15325" max="15325" width="8.69921875" style="2"/>
    <col min="15329" max="15329" width="8.69921875" style="2"/>
    <col min="15333" max="15333" width="8.69921875" style="2"/>
    <col min="15337" max="15337" width="8.69921875" style="2"/>
    <col min="15341" max="15341" width="8.69921875" style="2"/>
    <col min="15345" max="15345" width="8.69921875" style="2"/>
    <col min="15349" max="15349" width="8.69921875" style="2"/>
    <col min="15353" max="15353" width="8.69921875" style="2"/>
    <col min="15357" max="15357" width="8.69921875" style="2"/>
    <col min="15361" max="15361" width="8.69921875" style="2"/>
    <col min="15365" max="15365" width="8.69921875" style="2"/>
    <col min="15369" max="15369" width="8.69921875" style="2"/>
    <col min="15373" max="15373" width="8.69921875" style="2"/>
    <col min="15377" max="15377" width="8.69921875" style="2"/>
    <col min="15381" max="15381" width="8.69921875" style="2"/>
    <col min="15385" max="15385" width="8.69921875" style="2"/>
    <col min="15389" max="15389" width="8.69921875" style="2"/>
    <col min="15393" max="15393" width="8.69921875" style="2"/>
    <col min="15397" max="15397" width="8.69921875" style="2"/>
    <col min="15401" max="15401" width="8.69921875" style="2"/>
    <col min="15405" max="15405" width="8.69921875" style="2"/>
    <col min="15409" max="15409" width="8.69921875" style="2"/>
    <col min="15413" max="15413" width="8.69921875" style="2"/>
    <col min="15417" max="15417" width="8.69921875" style="2"/>
    <col min="15421" max="15421" width="8.69921875" style="2"/>
    <col min="15425" max="15425" width="8.69921875" style="2"/>
    <col min="15429" max="15429" width="8.69921875" style="2"/>
    <col min="15433" max="15433" width="8.69921875" style="2"/>
    <col min="15437" max="15437" width="8.69921875" style="2"/>
    <col min="15441" max="15441" width="8.69921875" style="2"/>
    <col min="15445" max="15445" width="8.69921875" style="2"/>
    <col min="15449" max="15449" width="8.69921875" style="2"/>
    <col min="15453" max="15453" width="8.69921875" style="2"/>
    <col min="15457" max="15457" width="8.69921875" style="2"/>
    <col min="15461" max="15461" width="8.69921875" style="2"/>
    <col min="15465" max="15465" width="8.69921875" style="2"/>
    <col min="15469" max="15469" width="8.69921875" style="2"/>
    <col min="15473" max="15473" width="8.69921875" style="2"/>
    <col min="15477" max="15477" width="8.69921875" style="2"/>
    <col min="15481" max="15481" width="8.69921875" style="2"/>
    <col min="15485" max="15485" width="8.69921875" style="2"/>
    <col min="15489" max="15489" width="8.69921875" style="2"/>
    <col min="15493" max="15493" width="8.69921875" style="2"/>
    <col min="15497" max="15497" width="8.69921875" style="2"/>
    <col min="15501" max="15501" width="8.69921875" style="2"/>
    <col min="15505" max="15505" width="8.69921875" style="2"/>
    <col min="15509" max="15509" width="8.69921875" style="2"/>
    <col min="15513" max="15513" width="8.69921875" style="2"/>
    <col min="15517" max="15517" width="8.69921875" style="2"/>
    <col min="15521" max="15521" width="8.69921875" style="2"/>
    <col min="15525" max="15525" width="8.69921875" style="2"/>
    <col min="15529" max="15529" width="8.69921875" style="2"/>
    <col min="15533" max="15533" width="8.69921875" style="2"/>
    <col min="15537" max="15537" width="8.69921875" style="2"/>
    <col min="15541" max="15541" width="8.69921875" style="2"/>
    <col min="15545" max="15545" width="8.69921875" style="2"/>
    <col min="15549" max="15549" width="8.69921875" style="2"/>
    <col min="15553" max="15553" width="8.69921875" style="2"/>
    <col min="15557" max="15557" width="8.69921875" style="2"/>
    <col min="15561" max="15561" width="8.69921875" style="2"/>
    <col min="15565" max="15565" width="8.69921875" style="2"/>
    <col min="15569" max="15569" width="8.69921875" style="2"/>
    <col min="15573" max="15573" width="8.69921875" style="2"/>
    <col min="15577" max="15577" width="8.69921875" style="2"/>
    <col min="15581" max="15581" width="8.69921875" style="2"/>
    <col min="15585" max="15585" width="8.69921875" style="2"/>
    <col min="15589" max="15589" width="8.69921875" style="2"/>
    <col min="15593" max="15593" width="8.69921875" style="2"/>
    <col min="15597" max="15597" width="8.69921875" style="2"/>
    <col min="15601" max="15601" width="8.69921875" style="2"/>
    <col min="15605" max="15605" width="8.69921875" style="2"/>
    <col min="15609" max="15609" width="8.69921875" style="2"/>
    <col min="15613" max="15613" width="8.69921875" style="2"/>
    <col min="15617" max="15617" width="8.69921875" style="2"/>
    <col min="15621" max="15621" width="8.69921875" style="2"/>
    <col min="15625" max="15625" width="8.69921875" style="2"/>
    <col min="15629" max="15629" width="8.69921875" style="2"/>
    <col min="15633" max="15633" width="8.69921875" style="2"/>
    <col min="15637" max="15637" width="8.69921875" style="2"/>
    <col min="15641" max="15641" width="8.69921875" style="2"/>
    <col min="15645" max="15645" width="8.69921875" style="2"/>
    <col min="15649" max="15649" width="8.69921875" style="2"/>
    <col min="15653" max="15653" width="8.69921875" style="2"/>
    <col min="15657" max="15657" width="8.69921875" style="2"/>
    <col min="15661" max="15661" width="8.69921875" style="2"/>
    <col min="15665" max="15665" width="8.69921875" style="2"/>
    <col min="15669" max="15669" width="8.69921875" style="2"/>
    <col min="15673" max="15673" width="8.69921875" style="2"/>
    <col min="15677" max="15677" width="8.69921875" style="2"/>
    <col min="15681" max="15681" width="8.69921875" style="2"/>
    <col min="15685" max="15685" width="8.69921875" style="2"/>
    <col min="15689" max="15689" width="8.69921875" style="2"/>
    <col min="15693" max="15693" width="8.69921875" style="2"/>
    <col min="15697" max="15697" width="8.69921875" style="2"/>
    <col min="15701" max="15701" width="8.69921875" style="2"/>
    <col min="15705" max="15705" width="8.69921875" style="2"/>
    <col min="15709" max="15709" width="8.69921875" style="2"/>
    <col min="15713" max="15713" width="8.69921875" style="2"/>
    <col min="15717" max="15717" width="8.69921875" style="2"/>
    <col min="15721" max="15721" width="8.69921875" style="2"/>
    <col min="15725" max="15725" width="8.69921875" style="2"/>
    <col min="15729" max="15729" width="8.69921875" style="2"/>
    <col min="15733" max="15733" width="8.69921875" style="2"/>
    <col min="15737" max="15737" width="8.69921875" style="2"/>
    <col min="15741" max="15741" width="8.69921875" style="2"/>
    <col min="15745" max="15745" width="8.69921875" style="2"/>
    <col min="15749" max="15749" width="8.69921875" style="2"/>
    <col min="15753" max="15753" width="8.69921875" style="2"/>
    <col min="15757" max="15757" width="8.69921875" style="2"/>
    <col min="15761" max="15761" width="8.69921875" style="2"/>
    <col min="15765" max="15765" width="8.69921875" style="2"/>
    <col min="15769" max="15769" width="8.69921875" style="2"/>
    <col min="15773" max="15773" width="8.69921875" style="2"/>
    <col min="15777" max="15777" width="8.69921875" style="2"/>
    <col min="15781" max="15781" width="8.69921875" style="2"/>
    <col min="15785" max="15785" width="8.69921875" style="2"/>
    <col min="15789" max="15789" width="8.69921875" style="2"/>
    <col min="15793" max="15793" width="8.69921875" style="2"/>
    <col min="15797" max="15797" width="8.69921875" style="2"/>
    <col min="15801" max="15801" width="8.69921875" style="2"/>
    <col min="15805" max="15805" width="8.69921875" style="2"/>
    <col min="15809" max="15809" width="8.69921875" style="2"/>
    <col min="15813" max="15813" width="8.69921875" style="2"/>
    <col min="15817" max="15817" width="8.69921875" style="2"/>
    <col min="15821" max="15821" width="8.69921875" style="2"/>
    <col min="15825" max="15825" width="8.69921875" style="2"/>
    <col min="15829" max="15829" width="8.69921875" style="2"/>
    <col min="15833" max="15833" width="8.69921875" style="2"/>
    <col min="15837" max="15837" width="8.69921875" style="2"/>
    <col min="15841" max="15841" width="8.69921875" style="2"/>
    <col min="15845" max="15845" width="8.69921875" style="2"/>
    <col min="15849" max="15849" width="8.69921875" style="2"/>
    <col min="15853" max="15853" width="8.69921875" style="2"/>
    <col min="15857" max="15857" width="8.69921875" style="2"/>
    <col min="15861" max="15861" width="8.69921875" style="2"/>
    <col min="15865" max="15865" width="8.69921875" style="2"/>
    <col min="15869" max="15869" width="8.69921875" style="2"/>
    <col min="15873" max="15873" width="8.69921875" style="2"/>
    <col min="15877" max="15877" width="8.69921875" style="2"/>
    <col min="15881" max="15881" width="8.69921875" style="2"/>
    <col min="15885" max="15885" width="8.69921875" style="2"/>
    <col min="15889" max="15889" width="8.69921875" style="2"/>
    <col min="15893" max="15893" width="8.69921875" style="2"/>
    <col min="15897" max="15897" width="8.69921875" style="2"/>
    <col min="15901" max="15901" width="8.69921875" style="2"/>
    <col min="15905" max="15905" width="8.69921875" style="2"/>
    <col min="15909" max="15909" width="8.69921875" style="2"/>
    <col min="15913" max="15913" width="8.69921875" style="2"/>
    <col min="15917" max="15917" width="8.69921875" style="2"/>
    <col min="15921" max="15921" width="8.69921875" style="2"/>
    <col min="15925" max="15925" width="8.69921875" style="2"/>
    <col min="15929" max="15929" width="8.69921875" style="2"/>
    <col min="15933" max="15933" width="8.69921875" style="2"/>
    <col min="15937" max="15937" width="8.69921875" style="2"/>
    <col min="15941" max="15941" width="8.69921875" style="2"/>
    <col min="15945" max="15945" width="8.69921875" style="2"/>
    <col min="15949" max="15949" width="8.69921875" style="2"/>
    <col min="15953" max="15953" width="8.69921875" style="2"/>
    <col min="15957" max="15957" width="8.69921875" style="2"/>
    <col min="15961" max="15961" width="8.69921875" style="2"/>
    <col min="15965" max="15965" width="8.69921875" style="2"/>
    <col min="15969" max="15969" width="8.69921875" style="2"/>
    <col min="15973" max="15973" width="8.69921875" style="2"/>
    <col min="15977" max="15977" width="8.69921875" style="2"/>
    <col min="15981" max="15981" width="8.69921875" style="2"/>
    <col min="15985" max="15985" width="8.69921875" style="2"/>
    <col min="15989" max="15989" width="8.69921875" style="2"/>
    <col min="15993" max="15993" width="8.69921875" style="2"/>
    <col min="15997" max="15997" width="8.69921875" style="2"/>
    <col min="16001" max="16001" width="8.69921875" style="2"/>
    <col min="16005" max="16005" width="8.69921875" style="2"/>
    <col min="16009" max="16009" width="8.69921875" style="2"/>
    <col min="16013" max="16013" width="8.69921875" style="2"/>
    <col min="16017" max="16017" width="8.69921875" style="2"/>
    <col min="16021" max="16021" width="8.69921875" style="2"/>
    <col min="16025" max="16025" width="8.69921875" style="2"/>
    <col min="16029" max="16029" width="8.69921875" style="2"/>
    <col min="16033" max="16033" width="8.69921875" style="2"/>
    <col min="16037" max="16037" width="8.69921875" style="2"/>
    <col min="16041" max="16041" width="8.69921875" style="2"/>
    <col min="16045" max="16045" width="8.69921875" style="2"/>
    <col min="16049" max="16049" width="8.69921875" style="2"/>
    <col min="16053" max="16053" width="8.69921875" style="2"/>
    <col min="16057" max="16057" width="8.69921875" style="2"/>
    <col min="16061" max="16061" width="8.69921875" style="2"/>
    <col min="16065" max="16065" width="8.69921875" style="2"/>
    <col min="16069" max="16069" width="8.69921875" style="2"/>
    <col min="16073" max="16073" width="8.69921875" style="2"/>
    <col min="16077" max="16077" width="8.69921875" style="2"/>
    <col min="16081" max="16081" width="8.69921875" style="2"/>
    <col min="16085" max="16085" width="8.69921875" style="2"/>
    <col min="16089" max="16089" width="8.69921875" style="2"/>
    <col min="16093" max="16093" width="8.69921875" style="2"/>
    <col min="16097" max="16097" width="8.69921875" style="2"/>
    <col min="16101" max="16101" width="8.69921875" style="2"/>
    <col min="16105" max="16105" width="8.69921875" style="2"/>
    <col min="16109" max="16109" width="8.69921875" style="2"/>
    <col min="16113" max="16113" width="8.69921875" style="2"/>
    <col min="16117" max="16117" width="8.69921875" style="2"/>
    <col min="16121" max="16121" width="8.69921875" style="2"/>
    <col min="16125" max="16125" width="8.69921875" style="2"/>
    <col min="16129" max="16129" width="8.69921875" style="2"/>
    <col min="16133" max="16133" width="8.69921875" style="2"/>
    <col min="16137" max="16137" width="8.69921875" style="2"/>
    <col min="16141" max="16141" width="8.69921875" style="2"/>
    <col min="16145" max="16145" width="8.69921875" style="2"/>
    <col min="16149" max="16149" width="8.69921875" style="2"/>
    <col min="16153" max="16153" width="8.69921875" style="2"/>
    <col min="16157" max="16157" width="8.69921875" style="2"/>
    <col min="16161" max="16161" width="8.69921875" style="2"/>
    <col min="16165" max="16165" width="8.69921875" style="2"/>
    <col min="16169" max="16169" width="8.69921875" style="2"/>
    <col min="16173" max="16173" width="8.69921875" style="2"/>
    <col min="16177" max="16177" width="8.69921875" style="2"/>
    <col min="16181" max="16181" width="8.69921875" style="2"/>
    <col min="16185" max="16185" width="8.69921875" style="2"/>
    <col min="16189" max="16189" width="8.69921875" style="2"/>
    <col min="16193" max="16193" width="8.69921875" style="2"/>
    <col min="16197" max="16197" width="8.69921875" style="2"/>
    <col min="16201" max="16201" width="8.69921875" style="2"/>
    <col min="16205" max="16205" width="8.69921875" style="2"/>
    <col min="16209" max="16209" width="8.69921875" style="2"/>
    <col min="16213" max="16213" width="8.69921875" style="2"/>
    <col min="16217" max="16217" width="8.69921875" style="2"/>
    <col min="16221" max="16221" width="8.69921875" style="2"/>
    <col min="16225" max="16225" width="8.69921875" style="2"/>
    <col min="16229" max="16229" width="8.69921875" style="2"/>
    <col min="16233" max="16233" width="8.69921875" style="2"/>
    <col min="16237" max="16237" width="8.69921875" style="2"/>
    <col min="16241" max="16241" width="8.69921875" style="2"/>
    <col min="16245" max="16245" width="8.69921875" style="2"/>
    <col min="16249" max="16249" width="8.69921875" style="2"/>
    <col min="16253" max="16253" width="8.69921875" style="2"/>
    <col min="16257" max="16257" width="8.69921875" style="2"/>
    <col min="16261" max="16261" width="8.69921875" style="2"/>
    <col min="16265" max="16265" width="8.69921875" style="2"/>
    <col min="16269" max="16269" width="8.69921875" style="2"/>
    <col min="16273" max="16273" width="8.69921875" style="2"/>
    <col min="16277" max="16277" width="8.69921875" style="2"/>
    <col min="16281" max="16281" width="8.69921875" style="2"/>
    <col min="16285" max="16285" width="8.69921875" style="2"/>
    <col min="16289" max="16289" width="8.69921875" style="2"/>
    <col min="16293" max="16293" width="8.69921875" style="2"/>
    <col min="16297" max="16297" width="8.69921875" style="2"/>
    <col min="16301" max="16301" width="8.69921875" style="2"/>
    <col min="16305" max="16305" width="8.69921875" style="2"/>
    <col min="16309" max="16309" width="8.69921875" style="2"/>
    <col min="16313" max="16313" width="8.69921875" style="2"/>
    <col min="16317" max="16317" width="8.69921875" style="2"/>
    <col min="16321" max="16321" width="8.69921875" style="2"/>
    <col min="16325" max="16325" width="8.69921875" style="2"/>
    <col min="16329" max="16329" width="8.69921875" style="2"/>
    <col min="16333" max="16333" width="8.69921875" style="2"/>
    <col min="16337" max="16337" width="8.69921875" style="2"/>
    <col min="16341" max="16341" width="8.69921875" style="2"/>
    <col min="16345" max="16345" width="8.69921875" style="2"/>
    <col min="16349" max="16349" width="8.69921875" style="2"/>
    <col min="16353" max="16353" width="8.69921875" style="2"/>
    <col min="16357" max="16357" width="8.69921875" style="2"/>
    <col min="16361" max="16361" width="8.69921875" style="2"/>
    <col min="16365" max="16365" width="8.69921875" style="2"/>
    <col min="16369" max="16369" width="8.69921875" style="2"/>
    <col min="16373" max="16373" width="8.69921875" style="2"/>
    <col min="16377" max="16377" width="8.69921875" style="2"/>
    <col min="16381" max="16381" width="8.69921875" style="2"/>
  </cols>
  <sheetData>
    <row r="1" spans="1:4" x14ac:dyDescent="0.25">
      <c r="A1" s="23" t="s">
        <v>262</v>
      </c>
      <c r="B1" s="24" t="s">
        <v>476</v>
      </c>
      <c r="C1" s="24" t="s">
        <v>477</v>
      </c>
      <c r="D1" s="24" t="s">
        <v>259</v>
      </c>
    </row>
    <row r="2" spans="1:4" x14ac:dyDescent="0.25">
      <c r="A2" s="9" t="s">
        <v>176</v>
      </c>
      <c r="B2" s="10">
        <v>46</v>
      </c>
      <c r="C2" s="12">
        <f>D2/30</f>
        <v>200.16666669253027</v>
      </c>
      <c r="D2" s="12">
        <v>6005.0000007759081</v>
      </c>
    </row>
    <row r="3" spans="1:4" x14ac:dyDescent="0.25">
      <c r="A3" s="8" t="s">
        <v>478</v>
      </c>
      <c r="B3" s="4">
        <v>10</v>
      </c>
      <c r="C3" s="13">
        <f t="shared" ref="C3:C66" si="0">D3/30</f>
        <v>42.5</v>
      </c>
      <c r="D3" s="13">
        <v>1275</v>
      </c>
    </row>
    <row r="4" spans="1:4" x14ac:dyDescent="0.25">
      <c r="A4" s="8" t="s">
        <v>479</v>
      </c>
      <c r="B4" s="4">
        <v>9</v>
      </c>
      <c r="C4" s="13">
        <f t="shared" si="0"/>
        <v>36.749999987252522</v>
      </c>
      <c r="D4" s="13">
        <v>1102.4999996175757</v>
      </c>
    </row>
    <row r="5" spans="1:4" x14ac:dyDescent="0.25">
      <c r="A5" s="8" t="s">
        <v>480</v>
      </c>
      <c r="B5" s="4">
        <v>20</v>
      </c>
      <c r="C5" s="13">
        <f t="shared" si="0"/>
        <v>86.333333359856624</v>
      </c>
      <c r="D5" s="13">
        <v>2590.0000007956987</v>
      </c>
    </row>
    <row r="6" spans="1:4" x14ac:dyDescent="0.25">
      <c r="A6" s="8" t="s">
        <v>481</v>
      </c>
      <c r="B6" s="4">
        <v>7</v>
      </c>
      <c r="C6" s="13">
        <f t="shared" si="0"/>
        <v>34.583333345421124</v>
      </c>
      <c r="D6" s="13">
        <v>1037.5000003626337</v>
      </c>
    </row>
    <row r="7" spans="1:4" x14ac:dyDescent="0.25">
      <c r="A7" s="9" t="s">
        <v>325</v>
      </c>
      <c r="B7" s="10">
        <v>40</v>
      </c>
      <c r="C7" s="12">
        <f t="shared" si="0"/>
        <v>196.25000000261934</v>
      </c>
      <c r="D7" s="12">
        <v>5887.5000000785803</v>
      </c>
    </row>
    <row r="8" spans="1:4" x14ac:dyDescent="0.25">
      <c r="A8" s="8" t="s">
        <v>482</v>
      </c>
      <c r="B8" s="4">
        <v>4</v>
      </c>
      <c r="C8" s="13">
        <f t="shared" si="0"/>
        <v>20</v>
      </c>
      <c r="D8" s="13">
        <v>600</v>
      </c>
    </row>
    <row r="9" spans="1:4" x14ac:dyDescent="0.25">
      <c r="A9" s="8" t="s">
        <v>483</v>
      </c>
      <c r="B9" s="4">
        <v>4</v>
      </c>
      <c r="C9" s="13">
        <f t="shared" si="0"/>
        <v>20</v>
      </c>
      <c r="D9" s="13">
        <v>600</v>
      </c>
    </row>
    <row r="10" spans="1:4" x14ac:dyDescent="0.25">
      <c r="A10" s="8" t="s">
        <v>478</v>
      </c>
      <c r="B10" s="4">
        <v>4</v>
      </c>
      <c r="C10" s="13">
        <f t="shared" si="0"/>
        <v>20.666666672332212</v>
      </c>
      <c r="D10" s="13">
        <v>620.00000016996637</v>
      </c>
    </row>
    <row r="11" spans="1:4" x14ac:dyDescent="0.25">
      <c r="A11" s="8" t="s">
        <v>479</v>
      </c>
      <c r="B11" s="4">
        <v>4</v>
      </c>
      <c r="C11" s="13">
        <f t="shared" si="0"/>
        <v>20.666666661854833</v>
      </c>
      <c r="D11" s="13">
        <v>619.999999855645</v>
      </c>
    </row>
    <row r="12" spans="1:4" x14ac:dyDescent="0.25">
      <c r="A12" s="8" t="s">
        <v>484</v>
      </c>
      <c r="B12" s="4">
        <v>4</v>
      </c>
      <c r="C12" s="13">
        <f t="shared" si="0"/>
        <v>21.000000003259629</v>
      </c>
      <c r="D12" s="13">
        <v>630.00000009778887</v>
      </c>
    </row>
    <row r="13" spans="1:4" x14ac:dyDescent="0.25">
      <c r="A13" s="8" t="s">
        <v>480</v>
      </c>
      <c r="B13" s="4">
        <v>4</v>
      </c>
      <c r="C13" s="13">
        <f t="shared" si="0"/>
        <v>15.916666670993436</v>
      </c>
      <c r="D13" s="13">
        <v>477.50000012980308</v>
      </c>
    </row>
    <row r="14" spans="1:4" x14ac:dyDescent="0.25">
      <c r="A14" s="8" t="s">
        <v>485</v>
      </c>
      <c r="B14" s="4">
        <v>4</v>
      </c>
      <c r="C14" s="13">
        <f t="shared" si="0"/>
        <v>20</v>
      </c>
      <c r="D14" s="13">
        <v>600</v>
      </c>
    </row>
    <row r="15" spans="1:4" x14ac:dyDescent="0.25">
      <c r="A15" s="8" t="s">
        <v>486</v>
      </c>
      <c r="B15" s="4">
        <v>4</v>
      </c>
      <c r="C15" s="13">
        <f t="shared" si="0"/>
        <v>18.999999996740371</v>
      </c>
      <c r="D15" s="13">
        <v>569.99999990221113</v>
      </c>
    </row>
    <row r="16" spans="1:4" x14ac:dyDescent="0.25">
      <c r="A16" s="8" t="s">
        <v>481</v>
      </c>
      <c r="B16" s="4">
        <v>4</v>
      </c>
      <c r="C16" s="13">
        <f t="shared" si="0"/>
        <v>18.333333334885538</v>
      </c>
      <c r="D16" s="13">
        <v>550.00000004656613</v>
      </c>
    </row>
    <row r="17" spans="1:4" x14ac:dyDescent="0.25">
      <c r="A17" s="8" t="s">
        <v>487</v>
      </c>
      <c r="B17" s="4">
        <v>4</v>
      </c>
      <c r="C17" s="13">
        <f t="shared" si="0"/>
        <v>20.666666662553325</v>
      </c>
      <c r="D17" s="13">
        <v>619.99999987659976</v>
      </c>
    </row>
    <row r="18" spans="1:4" x14ac:dyDescent="0.25">
      <c r="A18" s="9" t="s">
        <v>227</v>
      </c>
      <c r="B18" s="10">
        <v>40</v>
      </c>
      <c r="C18" s="12">
        <f t="shared" si="0"/>
        <v>179.66666669660481</v>
      </c>
      <c r="D18" s="12">
        <v>5390.0000008981442</v>
      </c>
    </row>
    <row r="19" spans="1:4" x14ac:dyDescent="0.25">
      <c r="A19" s="8" t="s">
        <v>488</v>
      </c>
      <c r="B19" s="4">
        <v>5</v>
      </c>
      <c r="C19" s="13">
        <f t="shared" si="0"/>
        <v>23.916666676232126</v>
      </c>
      <c r="D19" s="13">
        <v>717.50000028696377</v>
      </c>
    </row>
    <row r="20" spans="1:4" x14ac:dyDescent="0.25">
      <c r="A20" s="8" t="s">
        <v>489</v>
      </c>
      <c r="B20" s="4">
        <v>5</v>
      </c>
      <c r="C20" s="13">
        <f t="shared" si="0"/>
        <v>20.750000008149073</v>
      </c>
      <c r="D20" s="13">
        <v>622.50000024447218</v>
      </c>
    </row>
    <row r="21" spans="1:4" x14ac:dyDescent="0.25">
      <c r="A21" s="8" t="s">
        <v>490</v>
      </c>
      <c r="B21" s="4">
        <v>5</v>
      </c>
      <c r="C21" s="13">
        <f t="shared" si="0"/>
        <v>24.583333336340729</v>
      </c>
      <c r="D21" s="13">
        <v>737.50000009022187</v>
      </c>
    </row>
    <row r="22" spans="1:4" x14ac:dyDescent="0.25">
      <c r="A22" s="8" t="s">
        <v>491</v>
      </c>
      <c r="B22" s="4">
        <v>5</v>
      </c>
      <c r="C22" s="13">
        <f t="shared" si="0"/>
        <v>17.5</v>
      </c>
      <c r="D22" s="13">
        <v>525</v>
      </c>
    </row>
    <row r="23" spans="1:4" x14ac:dyDescent="0.25">
      <c r="A23" s="8" t="s">
        <v>483</v>
      </c>
      <c r="B23" s="4">
        <v>5</v>
      </c>
      <c r="C23" s="13">
        <f t="shared" si="0"/>
        <v>24.166666671808343</v>
      </c>
      <c r="D23" s="13">
        <v>725.0000001542503</v>
      </c>
    </row>
    <row r="24" spans="1:4" x14ac:dyDescent="0.25">
      <c r="A24" s="8" t="s">
        <v>478</v>
      </c>
      <c r="B24" s="4">
        <v>5</v>
      </c>
      <c r="C24" s="13">
        <f t="shared" si="0"/>
        <v>21.25</v>
      </c>
      <c r="D24" s="13">
        <v>637.5</v>
      </c>
    </row>
    <row r="25" spans="1:4" x14ac:dyDescent="0.25">
      <c r="A25" s="8" t="s">
        <v>479</v>
      </c>
      <c r="B25" s="4">
        <v>5</v>
      </c>
      <c r="C25" s="13">
        <f t="shared" si="0"/>
        <v>24.166666671808343</v>
      </c>
      <c r="D25" s="13">
        <v>725.0000001542503</v>
      </c>
    </row>
    <row r="26" spans="1:4" x14ac:dyDescent="0.25">
      <c r="A26" s="8" t="s">
        <v>480</v>
      </c>
      <c r="B26" s="4">
        <v>5</v>
      </c>
      <c r="C26" s="13">
        <f t="shared" si="0"/>
        <v>23.333333332266193</v>
      </c>
      <c r="D26" s="13">
        <v>699.99999996798579</v>
      </c>
    </row>
    <row r="27" spans="1:4" x14ac:dyDescent="0.25">
      <c r="A27" s="9" t="s">
        <v>434</v>
      </c>
      <c r="B27" s="10">
        <v>34</v>
      </c>
      <c r="C27" s="12">
        <f t="shared" si="0"/>
        <v>154.9166666449164</v>
      </c>
      <c r="D27" s="12">
        <v>4647.4999993474921</v>
      </c>
    </row>
    <row r="28" spans="1:4" x14ac:dyDescent="0.25">
      <c r="A28" s="8" t="s">
        <v>490</v>
      </c>
      <c r="B28" s="4">
        <v>11</v>
      </c>
      <c r="C28" s="13">
        <f t="shared" si="0"/>
        <v>46.833333311951719</v>
      </c>
      <c r="D28" s="13">
        <v>1404.9999993585516</v>
      </c>
    </row>
    <row r="29" spans="1:4" x14ac:dyDescent="0.25">
      <c r="A29" s="8" t="s">
        <v>482</v>
      </c>
      <c r="B29" s="4">
        <v>6</v>
      </c>
      <c r="C29" s="13">
        <f t="shared" si="0"/>
        <v>27.500000001280569</v>
      </c>
      <c r="D29" s="13">
        <v>825.00000003841706</v>
      </c>
    </row>
    <row r="30" spans="1:4" x14ac:dyDescent="0.25">
      <c r="A30" s="8" t="s">
        <v>483</v>
      </c>
      <c r="B30" s="4">
        <v>12</v>
      </c>
      <c r="C30" s="13">
        <f t="shared" si="0"/>
        <v>55.999999995343387</v>
      </c>
      <c r="D30" s="13">
        <v>1679.9999998603016</v>
      </c>
    </row>
    <row r="31" spans="1:4" x14ac:dyDescent="0.25">
      <c r="A31" s="8" t="s">
        <v>481</v>
      </c>
      <c r="B31" s="4">
        <v>5</v>
      </c>
      <c r="C31" s="13">
        <f t="shared" si="0"/>
        <v>24.583333336340729</v>
      </c>
      <c r="D31" s="13">
        <v>737.50000009022187</v>
      </c>
    </row>
    <row r="32" spans="1:4" x14ac:dyDescent="0.25">
      <c r="A32" s="9" t="s">
        <v>474</v>
      </c>
      <c r="B32" s="10">
        <v>173</v>
      </c>
      <c r="C32" s="12">
        <f t="shared" si="0"/>
        <v>654.4000000001397</v>
      </c>
      <c r="D32" s="12">
        <v>19632.000000004191</v>
      </c>
    </row>
    <row r="33" spans="1:4" x14ac:dyDescent="0.25">
      <c r="A33" s="8" t="s">
        <v>488</v>
      </c>
      <c r="B33" s="4">
        <v>15</v>
      </c>
      <c r="C33" s="13">
        <f t="shared" si="0"/>
        <v>64.999999990977813</v>
      </c>
      <c r="D33" s="13">
        <v>1949.9999997293344</v>
      </c>
    </row>
    <row r="34" spans="1:4" x14ac:dyDescent="0.25">
      <c r="A34" s="8" t="s">
        <v>489</v>
      </c>
      <c r="B34" s="4">
        <v>19</v>
      </c>
      <c r="C34" s="13">
        <f t="shared" si="0"/>
        <v>57.666666671924759</v>
      </c>
      <c r="D34" s="13">
        <v>1730.0000001577428</v>
      </c>
    </row>
    <row r="35" spans="1:4" x14ac:dyDescent="0.25">
      <c r="A35" s="8" t="s">
        <v>490</v>
      </c>
      <c r="B35" s="4">
        <v>18</v>
      </c>
      <c r="C35" s="13">
        <f t="shared" si="0"/>
        <v>73.333333362825215</v>
      </c>
      <c r="D35" s="13">
        <v>2200.0000008847564</v>
      </c>
    </row>
    <row r="36" spans="1:4" x14ac:dyDescent="0.25">
      <c r="A36" s="8" t="s">
        <v>491</v>
      </c>
      <c r="B36" s="4">
        <v>15</v>
      </c>
      <c r="C36" s="13">
        <f t="shared" si="0"/>
        <v>43.749999981955625</v>
      </c>
      <c r="D36" s="13">
        <v>1312.4999994586688</v>
      </c>
    </row>
    <row r="37" spans="1:4" x14ac:dyDescent="0.25">
      <c r="A37" s="8" t="s">
        <v>482</v>
      </c>
      <c r="B37" s="4">
        <v>14</v>
      </c>
      <c r="C37" s="13">
        <f t="shared" si="0"/>
        <v>63.699999999022111</v>
      </c>
      <c r="D37" s="13">
        <v>1910.9999999706633</v>
      </c>
    </row>
    <row r="38" spans="1:4" x14ac:dyDescent="0.25">
      <c r="A38" s="8" t="s">
        <v>483</v>
      </c>
      <c r="B38" s="4">
        <v>9</v>
      </c>
      <c r="C38" s="13">
        <f t="shared" si="0"/>
        <v>40.333333315851633</v>
      </c>
      <c r="D38" s="13">
        <v>1209.999999475549</v>
      </c>
    </row>
    <row r="39" spans="1:4" x14ac:dyDescent="0.25">
      <c r="A39" s="8" t="s">
        <v>478</v>
      </c>
      <c r="B39" s="4">
        <v>8</v>
      </c>
      <c r="C39" s="13">
        <f t="shared" si="0"/>
        <v>25.600000000558794</v>
      </c>
      <c r="D39" s="13">
        <v>768.00000001676381</v>
      </c>
    </row>
    <row r="40" spans="1:4" x14ac:dyDescent="0.25">
      <c r="A40" s="8" t="s">
        <v>479</v>
      </c>
      <c r="B40" s="4">
        <v>8</v>
      </c>
      <c r="C40" s="13">
        <f t="shared" si="0"/>
        <v>35.60000001359731</v>
      </c>
      <c r="D40" s="13">
        <v>1068.0000004079193</v>
      </c>
    </row>
    <row r="41" spans="1:4" x14ac:dyDescent="0.25">
      <c r="A41" s="8" t="s">
        <v>484</v>
      </c>
      <c r="B41" s="4">
        <v>9</v>
      </c>
      <c r="C41" s="13">
        <f t="shared" si="0"/>
        <v>39.450000010197982</v>
      </c>
      <c r="D41" s="13">
        <v>1183.5000003059395</v>
      </c>
    </row>
    <row r="42" spans="1:4" x14ac:dyDescent="0.25">
      <c r="A42" s="8" t="s">
        <v>485</v>
      </c>
      <c r="B42" s="4">
        <v>19</v>
      </c>
      <c r="C42" s="13">
        <f t="shared" si="0"/>
        <v>81.499999975552782</v>
      </c>
      <c r="D42" s="13">
        <v>2444.9999992665835</v>
      </c>
    </row>
    <row r="43" spans="1:4" x14ac:dyDescent="0.25">
      <c r="A43" s="8" t="s">
        <v>486</v>
      </c>
      <c r="B43" s="4">
        <v>15</v>
      </c>
      <c r="C43" s="13">
        <f t="shared" si="0"/>
        <v>24.083333331160247</v>
      </c>
      <c r="D43" s="13">
        <v>722.49999993480742</v>
      </c>
    </row>
    <row r="44" spans="1:4" x14ac:dyDescent="0.25">
      <c r="A44" s="8" t="s">
        <v>481</v>
      </c>
      <c r="B44" s="4">
        <v>9</v>
      </c>
      <c r="C44" s="13">
        <f t="shared" si="0"/>
        <v>42.749999992665835</v>
      </c>
      <c r="D44" s="13">
        <v>1282.499999779975</v>
      </c>
    </row>
    <row r="45" spans="1:4" x14ac:dyDescent="0.25">
      <c r="A45" s="8" t="s">
        <v>487</v>
      </c>
      <c r="B45" s="4">
        <v>15</v>
      </c>
      <c r="C45" s="13">
        <f t="shared" si="0"/>
        <v>61.633333353849594</v>
      </c>
      <c r="D45" s="13">
        <v>1849.0000006154878</v>
      </c>
    </row>
    <row r="46" spans="1:4" x14ac:dyDescent="0.25">
      <c r="A46" s="9" t="s">
        <v>341</v>
      </c>
      <c r="B46" s="10">
        <v>32</v>
      </c>
      <c r="C46" s="12">
        <f t="shared" si="0"/>
        <v>143.74999999330612</v>
      </c>
      <c r="D46" s="12">
        <v>4312.4999997991836</v>
      </c>
    </row>
    <row r="47" spans="1:4" x14ac:dyDescent="0.25">
      <c r="A47" s="8" t="s">
        <v>491</v>
      </c>
      <c r="B47" s="4">
        <v>8</v>
      </c>
      <c r="C47" s="13">
        <f t="shared" si="0"/>
        <v>28.666666661854833</v>
      </c>
      <c r="D47" s="13">
        <v>859.999999855645</v>
      </c>
    </row>
    <row r="48" spans="1:4" x14ac:dyDescent="0.25">
      <c r="A48" s="8" t="s">
        <v>484</v>
      </c>
      <c r="B48" s="4">
        <v>5</v>
      </c>
      <c r="C48" s="13">
        <f t="shared" si="0"/>
        <v>23.749999995925464</v>
      </c>
      <c r="D48" s="13">
        <v>712.49999987776391</v>
      </c>
    </row>
    <row r="49" spans="1:4" x14ac:dyDescent="0.25">
      <c r="A49" s="8" t="s">
        <v>480</v>
      </c>
      <c r="B49" s="4">
        <v>5</v>
      </c>
      <c r="C49" s="13">
        <f t="shared" si="0"/>
        <v>28.999999996449333</v>
      </c>
      <c r="D49" s="13">
        <v>869.99999989347998</v>
      </c>
    </row>
    <row r="50" spans="1:4" x14ac:dyDescent="0.25">
      <c r="A50" s="8" t="s">
        <v>486</v>
      </c>
      <c r="B50" s="4">
        <v>5</v>
      </c>
      <c r="C50" s="13">
        <f t="shared" si="0"/>
        <v>23.750000008149073</v>
      </c>
      <c r="D50" s="13">
        <v>712.50000024447218</v>
      </c>
    </row>
    <row r="51" spans="1:4" x14ac:dyDescent="0.25">
      <c r="A51" s="8" t="s">
        <v>481</v>
      </c>
      <c r="B51" s="4">
        <v>5</v>
      </c>
      <c r="C51" s="13">
        <f t="shared" si="0"/>
        <v>21.25</v>
      </c>
      <c r="D51" s="13">
        <v>637.5</v>
      </c>
    </row>
    <row r="52" spans="1:4" x14ac:dyDescent="0.25">
      <c r="A52" s="8" t="s">
        <v>487</v>
      </c>
      <c r="B52" s="4">
        <v>4</v>
      </c>
      <c r="C52" s="13">
        <f t="shared" si="0"/>
        <v>17.333333330927417</v>
      </c>
      <c r="D52" s="13">
        <v>519.9999999278225</v>
      </c>
    </row>
    <row r="53" spans="1:4" x14ac:dyDescent="0.25">
      <c r="A53" s="11" t="s">
        <v>160</v>
      </c>
      <c r="B53" s="5">
        <v>14</v>
      </c>
      <c r="C53" s="26">
        <f t="shared" si="0"/>
        <v>47.666666670527775</v>
      </c>
      <c r="D53" s="26">
        <v>1430.0000001158332</v>
      </c>
    </row>
    <row r="54" spans="1:4" x14ac:dyDescent="0.25">
      <c r="A54" s="8" t="s">
        <v>489</v>
      </c>
      <c r="B54" s="4">
        <v>8</v>
      </c>
      <c r="C54" s="13">
        <f t="shared" si="0"/>
        <v>31.500000004423782</v>
      </c>
      <c r="D54" s="13">
        <v>945.00000013271347</v>
      </c>
    </row>
    <row r="55" spans="1:4" x14ac:dyDescent="0.25">
      <c r="A55" s="8" t="s">
        <v>491</v>
      </c>
      <c r="B55" s="4">
        <v>6</v>
      </c>
      <c r="C55" s="13">
        <f t="shared" si="0"/>
        <v>16.166666666103993</v>
      </c>
      <c r="D55" s="13">
        <v>484.99999998311978</v>
      </c>
    </row>
    <row r="56" spans="1:4" x14ac:dyDescent="0.25">
      <c r="A56" s="9" t="s">
        <v>166</v>
      </c>
      <c r="B56" s="10">
        <v>61</v>
      </c>
      <c r="C56" s="12">
        <f t="shared" si="0"/>
        <v>310.699999998149</v>
      </c>
      <c r="D56" s="12">
        <v>9320.9999999444699</v>
      </c>
    </row>
    <row r="57" spans="1:4" x14ac:dyDescent="0.25">
      <c r="A57" s="8" t="s">
        <v>488</v>
      </c>
      <c r="B57" s="4">
        <v>4</v>
      </c>
      <c r="C57" s="13">
        <f t="shared" si="0"/>
        <v>21.333333334187046</v>
      </c>
      <c r="D57" s="13">
        <v>640.00000002561137</v>
      </c>
    </row>
    <row r="58" spans="1:4" x14ac:dyDescent="0.25">
      <c r="A58" s="8" t="s">
        <v>489</v>
      </c>
      <c r="B58" s="4">
        <v>6</v>
      </c>
      <c r="C58" s="13">
        <f t="shared" si="0"/>
        <v>31.499999990221113</v>
      </c>
      <c r="D58" s="13">
        <v>944.99999970663339</v>
      </c>
    </row>
    <row r="59" spans="1:4" x14ac:dyDescent="0.25">
      <c r="A59" s="8" t="s">
        <v>490</v>
      </c>
      <c r="B59" s="4">
        <v>4</v>
      </c>
      <c r="C59" s="13">
        <f t="shared" si="0"/>
        <v>20.999999993480742</v>
      </c>
      <c r="D59" s="13">
        <v>629.99999980442226</v>
      </c>
    </row>
    <row r="60" spans="1:4" x14ac:dyDescent="0.25">
      <c r="A60" s="8" t="s">
        <v>491</v>
      </c>
      <c r="B60" s="4">
        <v>4</v>
      </c>
      <c r="C60" s="13">
        <f t="shared" si="0"/>
        <v>14.199999999953434</v>
      </c>
      <c r="D60" s="13">
        <v>425.99999999860302</v>
      </c>
    </row>
    <row r="61" spans="1:4" x14ac:dyDescent="0.25">
      <c r="A61" s="8" t="s">
        <v>482</v>
      </c>
      <c r="B61" s="4">
        <v>4</v>
      </c>
      <c r="C61" s="13">
        <f t="shared" si="0"/>
        <v>20.333333331625909</v>
      </c>
      <c r="D61" s="13">
        <v>609.99999994877726</v>
      </c>
    </row>
    <row r="62" spans="1:4" x14ac:dyDescent="0.25">
      <c r="A62" s="8" t="s">
        <v>483</v>
      </c>
      <c r="B62" s="4">
        <v>4</v>
      </c>
      <c r="C62" s="13">
        <f t="shared" si="0"/>
        <v>21.000000003259629</v>
      </c>
      <c r="D62" s="13">
        <v>630.00000009778887</v>
      </c>
    </row>
    <row r="63" spans="1:4" x14ac:dyDescent="0.25">
      <c r="A63" s="8" t="s">
        <v>478</v>
      </c>
      <c r="B63" s="4">
        <v>4</v>
      </c>
      <c r="C63" s="13">
        <f t="shared" si="0"/>
        <v>20.666666662553325</v>
      </c>
      <c r="D63" s="13">
        <v>619.99999987659976</v>
      </c>
    </row>
    <row r="64" spans="1:4" x14ac:dyDescent="0.25">
      <c r="A64" s="8" t="s">
        <v>479</v>
      </c>
      <c r="B64" s="4">
        <v>4</v>
      </c>
      <c r="C64" s="13">
        <f t="shared" si="0"/>
        <v>19.333333337446675</v>
      </c>
      <c r="D64" s="13">
        <v>580.00000012340024</v>
      </c>
    </row>
    <row r="65" spans="1:4" x14ac:dyDescent="0.25">
      <c r="A65" s="8" t="s">
        <v>484</v>
      </c>
      <c r="B65" s="4">
        <v>4</v>
      </c>
      <c r="C65" s="13">
        <f t="shared" si="0"/>
        <v>21.616666661459021</v>
      </c>
      <c r="D65" s="13">
        <v>648.49999984377064</v>
      </c>
    </row>
    <row r="66" spans="1:4" x14ac:dyDescent="0.25">
      <c r="A66" s="8" t="s">
        <v>480</v>
      </c>
      <c r="B66" s="4">
        <v>4</v>
      </c>
      <c r="C66" s="13">
        <f t="shared" si="0"/>
        <v>21.466666668653488</v>
      </c>
      <c r="D66" s="13">
        <v>644.00000005960464</v>
      </c>
    </row>
    <row r="67" spans="1:4" x14ac:dyDescent="0.25">
      <c r="A67" s="8" t="s">
        <v>485</v>
      </c>
      <c r="B67" s="4">
        <v>4</v>
      </c>
      <c r="C67" s="13">
        <f t="shared" ref="C67:C71" si="1">D67/30</f>
        <v>20.666666662553325</v>
      </c>
      <c r="D67" s="13">
        <v>619.99999987659976</v>
      </c>
    </row>
    <row r="68" spans="1:4" x14ac:dyDescent="0.25">
      <c r="A68" s="8" t="s">
        <v>486</v>
      </c>
      <c r="B68" s="4">
        <v>4</v>
      </c>
      <c r="C68" s="13">
        <f t="shared" si="1"/>
        <v>21.000000003259629</v>
      </c>
      <c r="D68" s="13">
        <v>630.00000009778887</v>
      </c>
    </row>
    <row r="69" spans="1:4" x14ac:dyDescent="0.25">
      <c r="A69" s="8" t="s">
        <v>481</v>
      </c>
      <c r="B69" s="4">
        <v>4</v>
      </c>
      <c r="C69" s="13">
        <f t="shared" si="1"/>
        <v>21.000000003259629</v>
      </c>
      <c r="D69" s="13">
        <v>630.00000009778887</v>
      </c>
    </row>
    <row r="70" spans="1:4" x14ac:dyDescent="0.25">
      <c r="A70" s="8" t="s">
        <v>487</v>
      </c>
      <c r="B70" s="4">
        <v>7</v>
      </c>
      <c r="C70" s="13">
        <f t="shared" si="1"/>
        <v>35.583333346236032</v>
      </c>
      <c r="D70" s="13">
        <v>1067.5000003870809</v>
      </c>
    </row>
    <row r="71" spans="1:4" x14ac:dyDescent="0.25">
      <c r="A71" s="23" t="s">
        <v>103</v>
      </c>
      <c r="B71" s="24"/>
      <c r="C71" s="29">
        <f t="shared" si="1"/>
        <v>1887.5166666987934</v>
      </c>
      <c r="D71" s="29">
        <v>56625.500000963802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8F92-FACF-49B3-88A2-DEB67A1F9116}">
  <dimension ref="A2:D65"/>
  <sheetViews>
    <sheetView rightToLeft="1" topLeftCell="A64" workbookViewId="0">
      <selection activeCell="G11" sqref="G11"/>
    </sheetView>
  </sheetViews>
  <sheetFormatPr defaultRowHeight="13.8" x14ac:dyDescent="0.25"/>
  <cols>
    <col min="1" max="1" width="24.69921875" style="2" customWidth="1"/>
  </cols>
  <sheetData>
    <row r="2" spans="1:4" x14ac:dyDescent="0.25">
      <c r="A2" s="30" t="s">
        <v>262</v>
      </c>
      <c r="B2" s="31" t="s">
        <v>499</v>
      </c>
      <c r="C2" s="31" t="s">
        <v>500</v>
      </c>
      <c r="D2" s="31" t="s">
        <v>259</v>
      </c>
    </row>
    <row r="3" spans="1:4" x14ac:dyDescent="0.25">
      <c r="A3" s="9" t="s">
        <v>501</v>
      </c>
      <c r="B3" s="10">
        <v>129</v>
      </c>
      <c r="C3" s="12">
        <f>D3/33</f>
        <v>580.24999994278187</v>
      </c>
      <c r="D3" s="10">
        <v>19148.249998111802</v>
      </c>
    </row>
    <row r="4" spans="1:4" x14ac:dyDescent="0.25">
      <c r="A4" s="8" t="s">
        <v>488</v>
      </c>
      <c r="B4" s="4">
        <v>8</v>
      </c>
      <c r="C4" s="13">
        <f t="shared" ref="C4:C65" si="0">D4/33</f>
        <v>35.333333325106651</v>
      </c>
      <c r="D4" s="4">
        <v>1165.9999997285195</v>
      </c>
    </row>
    <row r="5" spans="1:4" x14ac:dyDescent="0.25">
      <c r="A5" s="8" t="s">
        <v>489</v>
      </c>
      <c r="B5" s="4">
        <v>7</v>
      </c>
      <c r="C5" s="13">
        <f t="shared" si="0"/>
        <v>32.666666663950309</v>
      </c>
      <c r="D5" s="4">
        <v>1077.9999999103602</v>
      </c>
    </row>
    <row r="6" spans="1:4" x14ac:dyDescent="0.25">
      <c r="A6" s="8" t="s">
        <v>490</v>
      </c>
      <c r="B6" s="4">
        <v>9</v>
      </c>
      <c r="C6" s="13">
        <f t="shared" si="0"/>
        <v>41.99999999650754</v>
      </c>
      <c r="D6" s="4">
        <v>1385.9999998847488</v>
      </c>
    </row>
    <row r="7" spans="1:4" x14ac:dyDescent="0.25">
      <c r="A7" s="8" t="s">
        <v>491</v>
      </c>
      <c r="B7" s="4">
        <v>8</v>
      </c>
      <c r="C7" s="13">
        <f t="shared" si="0"/>
        <v>35.333333325106651</v>
      </c>
      <c r="D7" s="4">
        <v>1165.9999997285195</v>
      </c>
    </row>
    <row r="8" spans="1:4" x14ac:dyDescent="0.25">
      <c r="A8" s="8" t="s">
        <v>482</v>
      </c>
      <c r="B8" s="4">
        <v>8</v>
      </c>
      <c r="C8" s="13">
        <f t="shared" si="0"/>
        <v>37.333333349786699</v>
      </c>
      <c r="D8" s="4">
        <v>1232.0000005429611</v>
      </c>
    </row>
    <row r="9" spans="1:4" x14ac:dyDescent="0.25">
      <c r="A9" s="8" t="s">
        <v>483</v>
      </c>
      <c r="B9" s="4">
        <v>9</v>
      </c>
      <c r="C9" s="13">
        <f t="shared" si="0"/>
        <v>41.250000001920853</v>
      </c>
      <c r="D9" s="4">
        <v>1361.2500000633881</v>
      </c>
    </row>
    <row r="10" spans="1:4" x14ac:dyDescent="0.25">
      <c r="A10" s="8" t="s">
        <v>478</v>
      </c>
      <c r="B10" s="4">
        <v>8</v>
      </c>
      <c r="C10" s="13">
        <f t="shared" si="0"/>
        <v>36.666666668374091</v>
      </c>
      <c r="D10" s="4">
        <v>1210.000000056345</v>
      </c>
    </row>
    <row r="11" spans="1:4" x14ac:dyDescent="0.25">
      <c r="A11" s="8" t="s">
        <v>479</v>
      </c>
      <c r="B11" s="4">
        <v>9</v>
      </c>
      <c r="C11" s="13">
        <f t="shared" si="0"/>
        <v>38.999999994586688</v>
      </c>
      <c r="D11" s="4">
        <v>1286.9999998213607</v>
      </c>
    </row>
    <row r="12" spans="1:4" x14ac:dyDescent="0.25">
      <c r="A12" s="8" t="s">
        <v>484</v>
      </c>
      <c r="B12" s="4">
        <v>9</v>
      </c>
      <c r="C12" s="13">
        <f t="shared" si="0"/>
        <v>43.499999988824129</v>
      </c>
      <c r="D12" s="4">
        <v>1435.4999996311963</v>
      </c>
    </row>
    <row r="13" spans="1:4" x14ac:dyDescent="0.25">
      <c r="A13" s="8" t="s">
        <v>480</v>
      </c>
      <c r="B13" s="4">
        <v>10</v>
      </c>
      <c r="C13" s="13">
        <f t="shared" si="0"/>
        <v>47.499999991850927</v>
      </c>
      <c r="D13" s="4">
        <v>1567.4999997310806</v>
      </c>
    </row>
    <row r="14" spans="1:4" x14ac:dyDescent="0.25">
      <c r="A14" s="8" t="s">
        <v>502</v>
      </c>
      <c r="B14" s="4">
        <v>18</v>
      </c>
      <c r="C14" s="13">
        <f t="shared" si="0"/>
        <v>86.499999978463165</v>
      </c>
      <c r="D14" s="4">
        <v>2854.4999992892845</v>
      </c>
    </row>
    <row r="15" spans="1:4" x14ac:dyDescent="0.25">
      <c r="A15" s="8" t="s">
        <v>503</v>
      </c>
      <c r="B15" s="4">
        <v>9</v>
      </c>
      <c r="C15" s="13">
        <f t="shared" si="0"/>
        <v>39.749999990744982</v>
      </c>
      <c r="D15" s="4">
        <v>1311.7499996945844</v>
      </c>
    </row>
    <row r="16" spans="1:4" x14ac:dyDescent="0.25">
      <c r="A16" s="8" t="s">
        <v>485</v>
      </c>
      <c r="B16" s="4">
        <v>9</v>
      </c>
      <c r="C16" s="13">
        <f t="shared" si="0"/>
        <v>42.749999992665835</v>
      </c>
      <c r="D16" s="4">
        <v>1410.7499997579725</v>
      </c>
    </row>
    <row r="17" spans="1:4" x14ac:dyDescent="0.25">
      <c r="A17" s="8" t="s">
        <v>486</v>
      </c>
      <c r="B17" s="4">
        <v>8</v>
      </c>
      <c r="C17" s="13">
        <f t="shared" si="0"/>
        <v>20.666666674893349</v>
      </c>
      <c r="D17" s="4">
        <v>682.00000027148053</v>
      </c>
    </row>
    <row r="18" spans="1:4" x14ac:dyDescent="0.25">
      <c r="A18" s="9" t="s">
        <v>504</v>
      </c>
      <c r="B18" s="10">
        <v>9</v>
      </c>
      <c r="C18" s="12">
        <f t="shared" si="0"/>
        <v>37.499999983410817</v>
      </c>
      <c r="D18" s="10">
        <v>1237.4999994525569</v>
      </c>
    </row>
    <row r="19" spans="1:4" x14ac:dyDescent="0.25">
      <c r="A19" s="8" t="s">
        <v>487</v>
      </c>
      <c r="B19" s="4">
        <v>9</v>
      </c>
      <c r="C19" s="13">
        <f t="shared" si="0"/>
        <v>37.499999983410817</v>
      </c>
      <c r="D19" s="4">
        <v>1237.4999994525569</v>
      </c>
    </row>
    <row r="20" spans="1:4" x14ac:dyDescent="0.25">
      <c r="A20" s="9" t="s">
        <v>505</v>
      </c>
      <c r="B20" s="10">
        <v>6</v>
      </c>
      <c r="C20" s="12">
        <f t="shared" si="0"/>
        <v>27.500000001280569</v>
      </c>
      <c r="D20" s="10">
        <v>907.50000004225876</v>
      </c>
    </row>
    <row r="21" spans="1:4" x14ac:dyDescent="0.25">
      <c r="A21" s="8" t="s">
        <v>481</v>
      </c>
      <c r="B21" s="4">
        <v>6</v>
      </c>
      <c r="C21" s="13">
        <f t="shared" si="0"/>
        <v>27.500000001280569</v>
      </c>
      <c r="D21" s="4">
        <v>907.50000004225876</v>
      </c>
    </row>
    <row r="22" spans="1:4" x14ac:dyDescent="0.25">
      <c r="A22" s="9" t="s">
        <v>258</v>
      </c>
      <c r="B22" s="10">
        <v>20</v>
      </c>
      <c r="C22" s="12">
        <f t="shared" si="0"/>
        <v>84.833333329821471</v>
      </c>
      <c r="D22" s="10">
        <v>2799.4999998841085</v>
      </c>
    </row>
    <row r="23" spans="1:4" x14ac:dyDescent="0.25">
      <c r="A23" s="8" t="s">
        <v>491</v>
      </c>
      <c r="B23" s="4">
        <v>5</v>
      </c>
      <c r="C23" s="13">
        <f t="shared" si="0"/>
        <v>20.83333332411712</v>
      </c>
      <c r="D23" s="4">
        <v>687.49999969586497</v>
      </c>
    </row>
    <row r="24" spans="1:4" x14ac:dyDescent="0.25">
      <c r="A24" s="8" t="s">
        <v>479</v>
      </c>
      <c r="B24" s="4">
        <v>4</v>
      </c>
      <c r="C24" s="13">
        <f t="shared" si="0"/>
        <v>19.000000006519258</v>
      </c>
      <c r="D24" s="4">
        <v>627.00000021513551</v>
      </c>
    </row>
    <row r="25" spans="1:4" x14ac:dyDescent="0.25">
      <c r="A25" s="8" t="s">
        <v>503</v>
      </c>
      <c r="B25" s="4">
        <v>5</v>
      </c>
      <c r="C25" s="13">
        <f t="shared" si="0"/>
        <v>22.083333328191657</v>
      </c>
      <c r="D25" s="4">
        <v>728.74999983032467</v>
      </c>
    </row>
    <row r="26" spans="1:4" x14ac:dyDescent="0.25">
      <c r="A26" s="8" t="s">
        <v>487</v>
      </c>
      <c r="B26" s="4">
        <v>6</v>
      </c>
      <c r="C26" s="13">
        <f t="shared" si="0"/>
        <v>22.916666670993436</v>
      </c>
      <c r="D26" s="4">
        <v>756.25000014278339</v>
      </c>
    </row>
    <row r="27" spans="1:4" x14ac:dyDescent="0.25">
      <c r="A27" s="9" t="s">
        <v>271</v>
      </c>
      <c r="B27" s="10">
        <v>11</v>
      </c>
      <c r="C27" s="12">
        <f t="shared" si="0"/>
        <v>53.916666676232126</v>
      </c>
      <c r="D27" s="10">
        <v>1779.2500003156601</v>
      </c>
    </row>
    <row r="28" spans="1:4" x14ac:dyDescent="0.25">
      <c r="A28" s="8" t="s">
        <v>486</v>
      </c>
      <c r="B28" s="4">
        <v>5</v>
      </c>
      <c r="C28" s="13">
        <f t="shared" si="0"/>
        <v>22.916666667733807</v>
      </c>
      <c r="D28" s="4">
        <v>756.25000003521563</v>
      </c>
    </row>
    <row r="29" spans="1:4" x14ac:dyDescent="0.25">
      <c r="A29" s="8" t="s">
        <v>481</v>
      </c>
      <c r="B29" s="4">
        <v>6</v>
      </c>
      <c r="C29" s="13">
        <f t="shared" si="0"/>
        <v>31.000000008498318</v>
      </c>
      <c r="D29" s="4">
        <v>1023.0000002804445</v>
      </c>
    </row>
    <row r="30" spans="1:4" x14ac:dyDescent="0.25">
      <c r="A30" s="9" t="s">
        <v>506</v>
      </c>
      <c r="B30" s="10">
        <v>35</v>
      </c>
      <c r="C30" s="12">
        <f t="shared" si="0"/>
        <v>180.1666666578385</v>
      </c>
      <c r="D30" s="10">
        <v>5945.4999997086707</v>
      </c>
    </row>
    <row r="31" spans="1:4" x14ac:dyDescent="0.25">
      <c r="A31" s="8" t="s">
        <v>489</v>
      </c>
      <c r="B31" s="4">
        <v>4</v>
      </c>
      <c r="C31" s="13">
        <f t="shared" si="0"/>
        <v>23</v>
      </c>
      <c r="D31" s="4">
        <v>759</v>
      </c>
    </row>
    <row r="32" spans="1:4" x14ac:dyDescent="0.25">
      <c r="A32" s="8" t="s">
        <v>483</v>
      </c>
      <c r="B32" s="4">
        <v>4</v>
      </c>
      <c r="C32" s="13">
        <f t="shared" si="0"/>
        <v>18.999999996740371</v>
      </c>
      <c r="D32" s="4">
        <v>626.99999989243224</v>
      </c>
    </row>
    <row r="33" spans="1:4" x14ac:dyDescent="0.25">
      <c r="A33" s="8" t="s">
        <v>478</v>
      </c>
      <c r="B33" s="4">
        <v>8</v>
      </c>
      <c r="C33" s="13">
        <f t="shared" si="0"/>
        <v>41.999999986961484</v>
      </c>
      <c r="D33" s="4">
        <v>1385.999999569729</v>
      </c>
    </row>
    <row r="34" spans="1:4" x14ac:dyDescent="0.25">
      <c r="A34" s="8" t="s">
        <v>480</v>
      </c>
      <c r="B34" s="4">
        <v>7</v>
      </c>
      <c r="C34" s="13">
        <f t="shared" si="0"/>
        <v>36.166666659468319</v>
      </c>
      <c r="D34" s="4">
        <v>1193.4999997624545</v>
      </c>
    </row>
    <row r="35" spans="1:4" x14ac:dyDescent="0.25">
      <c r="A35" s="8" t="s">
        <v>485</v>
      </c>
      <c r="B35" s="4">
        <v>6</v>
      </c>
      <c r="C35" s="13">
        <f t="shared" si="0"/>
        <v>31.500000004889444</v>
      </c>
      <c r="D35" s="4">
        <v>1039.5000001613516</v>
      </c>
    </row>
    <row r="36" spans="1:4" x14ac:dyDescent="0.25">
      <c r="A36" s="8" t="s">
        <v>486</v>
      </c>
      <c r="B36" s="4">
        <v>6</v>
      </c>
      <c r="C36" s="13">
        <f t="shared" si="0"/>
        <v>28.500000009778887</v>
      </c>
      <c r="D36" s="4">
        <v>940.50000032270327</v>
      </c>
    </row>
    <row r="37" spans="1:4" x14ac:dyDescent="0.25">
      <c r="A37" s="9" t="s">
        <v>104</v>
      </c>
      <c r="B37" s="10">
        <v>232</v>
      </c>
      <c r="C37" s="12">
        <f t="shared" si="0"/>
        <v>1044.3333332412876</v>
      </c>
      <c r="D37" s="10">
        <v>34462.999996962491</v>
      </c>
    </row>
    <row r="38" spans="1:4" x14ac:dyDescent="0.25">
      <c r="A38" s="8" t="s">
        <v>488</v>
      </c>
      <c r="B38" s="4">
        <v>12</v>
      </c>
      <c r="C38" s="13">
        <f t="shared" si="0"/>
        <v>50.916666682751384</v>
      </c>
      <c r="D38" s="4">
        <v>1680.2500005307957</v>
      </c>
    </row>
    <row r="39" spans="1:4" x14ac:dyDescent="0.25">
      <c r="A39" s="8" t="s">
        <v>489</v>
      </c>
      <c r="B39" s="4">
        <v>11</v>
      </c>
      <c r="C39" s="13">
        <f t="shared" si="0"/>
        <v>48.249999991850927</v>
      </c>
      <c r="D39" s="4">
        <v>1592.2499997310806</v>
      </c>
    </row>
    <row r="40" spans="1:4" x14ac:dyDescent="0.25">
      <c r="A40" s="8" t="s">
        <v>490</v>
      </c>
      <c r="B40" s="4">
        <v>15</v>
      </c>
      <c r="C40" s="13">
        <f t="shared" si="0"/>
        <v>68.749999978754204</v>
      </c>
      <c r="D40" s="4">
        <v>2268.7499992988887</v>
      </c>
    </row>
    <row r="41" spans="1:4" x14ac:dyDescent="0.25">
      <c r="A41" s="8" t="s">
        <v>491</v>
      </c>
      <c r="B41" s="4">
        <v>11</v>
      </c>
      <c r="C41" s="13">
        <f t="shared" si="0"/>
        <v>53.166666686942335</v>
      </c>
      <c r="D41" s="4">
        <v>1754.5000006690971</v>
      </c>
    </row>
    <row r="42" spans="1:4" x14ac:dyDescent="0.25">
      <c r="A42" s="8" t="s">
        <v>482</v>
      </c>
      <c r="B42" s="4">
        <v>17</v>
      </c>
      <c r="C42" s="13">
        <f t="shared" si="0"/>
        <v>80.75</v>
      </c>
      <c r="D42" s="4">
        <v>2664.75</v>
      </c>
    </row>
    <row r="43" spans="1:4" x14ac:dyDescent="0.25">
      <c r="A43" s="8" t="s">
        <v>483</v>
      </c>
      <c r="B43" s="4">
        <v>13</v>
      </c>
      <c r="C43" s="13">
        <f t="shared" si="0"/>
        <v>60.666666642704513</v>
      </c>
      <c r="D43" s="4">
        <v>2001.9999992092489</v>
      </c>
    </row>
    <row r="44" spans="1:4" x14ac:dyDescent="0.25">
      <c r="A44" s="8" t="s">
        <v>478</v>
      </c>
      <c r="B44" s="4">
        <v>11</v>
      </c>
      <c r="C44" s="13">
        <f t="shared" si="0"/>
        <v>52.25</v>
      </c>
      <c r="D44" s="4">
        <v>1724.25</v>
      </c>
    </row>
    <row r="45" spans="1:4" x14ac:dyDescent="0.25">
      <c r="A45" s="8" t="s">
        <v>479</v>
      </c>
      <c r="B45" s="4">
        <v>13</v>
      </c>
      <c r="C45" s="13">
        <f t="shared" si="0"/>
        <v>55.250000010593794</v>
      </c>
      <c r="D45" s="4">
        <v>1823.2500003495952</v>
      </c>
    </row>
    <row r="46" spans="1:4" x14ac:dyDescent="0.25">
      <c r="A46" s="8" t="s">
        <v>484</v>
      </c>
      <c r="B46" s="4">
        <v>15</v>
      </c>
      <c r="C46" s="13">
        <f t="shared" si="0"/>
        <v>69.999999972351361</v>
      </c>
      <c r="D46" s="4">
        <v>2309.9999990875949</v>
      </c>
    </row>
    <row r="47" spans="1:4" x14ac:dyDescent="0.25">
      <c r="A47" s="8" t="s">
        <v>480</v>
      </c>
      <c r="B47" s="4">
        <v>11</v>
      </c>
      <c r="C47" s="13">
        <f t="shared" si="0"/>
        <v>52.25</v>
      </c>
      <c r="D47" s="4">
        <v>1724.25</v>
      </c>
    </row>
    <row r="48" spans="1:4" x14ac:dyDescent="0.25">
      <c r="A48" s="8" t="s">
        <v>502</v>
      </c>
      <c r="B48" s="4">
        <v>15</v>
      </c>
      <c r="C48" s="13">
        <f t="shared" si="0"/>
        <v>71.25</v>
      </c>
      <c r="D48" s="4">
        <v>2351.25</v>
      </c>
    </row>
    <row r="49" spans="1:4" x14ac:dyDescent="0.25">
      <c r="A49" s="8" t="s">
        <v>503</v>
      </c>
      <c r="B49" s="4">
        <v>19</v>
      </c>
      <c r="C49" s="13">
        <f t="shared" si="0"/>
        <v>80.749999969033524</v>
      </c>
      <c r="D49" s="4">
        <v>2664.7499989781063</v>
      </c>
    </row>
    <row r="50" spans="1:4" x14ac:dyDescent="0.25">
      <c r="A50" s="8" t="s">
        <v>485</v>
      </c>
      <c r="B50" s="4">
        <v>17</v>
      </c>
      <c r="C50" s="13">
        <f t="shared" si="0"/>
        <v>79.333333301998209</v>
      </c>
      <c r="D50" s="4">
        <v>2617.9999989659409</v>
      </c>
    </row>
    <row r="51" spans="1:4" x14ac:dyDescent="0.25">
      <c r="A51" s="8" t="s">
        <v>486</v>
      </c>
      <c r="B51" s="4">
        <v>14</v>
      </c>
      <c r="C51" s="13">
        <f t="shared" si="0"/>
        <v>61.583333345886786</v>
      </c>
      <c r="D51" s="4">
        <v>2032.2500004142639</v>
      </c>
    </row>
    <row r="52" spans="1:4" x14ac:dyDescent="0.25">
      <c r="A52" s="8" t="s">
        <v>481</v>
      </c>
      <c r="B52" s="4">
        <v>11</v>
      </c>
      <c r="C52" s="13">
        <f t="shared" si="0"/>
        <v>50.416666651086416</v>
      </c>
      <c r="D52" s="4">
        <v>1663.7499994858517</v>
      </c>
    </row>
    <row r="53" spans="1:4" x14ac:dyDescent="0.25">
      <c r="A53" s="8" t="s">
        <v>487</v>
      </c>
      <c r="B53" s="4">
        <v>18</v>
      </c>
      <c r="C53" s="13">
        <f t="shared" si="0"/>
        <v>70.5</v>
      </c>
      <c r="D53" s="4">
        <v>2326.5</v>
      </c>
    </row>
    <row r="54" spans="1:4" x14ac:dyDescent="0.25">
      <c r="A54" s="8" t="s">
        <v>507</v>
      </c>
      <c r="B54" s="4">
        <v>9</v>
      </c>
      <c r="C54" s="13">
        <f t="shared" si="0"/>
        <v>38.250000007334165</v>
      </c>
      <c r="D54" s="4">
        <v>1262.2500002420275</v>
      </c>
    </row>
    <row r="55" spans="1:4" x14ac:dyDescent="0.25">
      <c r="A55" s="9" t="s">
        <v>418</v>
      </c>
      <c r="B55" s="10">
        <v>74</v>
      </c>
      <c r="C55" s="12">
        <f t="shared" si="0"/>
        <v>355.33333332341863</v>
      </c>
      <c r="D55" s="10">
        <v>11725.999999672815</v>
      </c>
    </row>
    <row r="56" spans="1:4" x14ac:dyDescent="0.25">
      <c r="A56" s="8" t="s">
        <v>488</v>
      </c>
      <c r="B56" s="4">
        <v>9</v>
      </c>
      <c r="C56" s="13">
        <f t="shared" si="0"/>
        <v>39.749999990744982</v>
      </c>
      <c r="D56" s="4">
        <v>1311.7499996945844</v>
      </c>
    </row>
    <row r="57" spans="1:4" x14ac:dyDescent="0.25">
      <c r="A57" s="8" t="s">
        <v>489</v>
      </c>
      <c r="B57" s="4">
        <v>7</v>
      </c>
      <c r="C57" s="13">
        <f t="shared" si="0"/>
        <v>34.41666666965466</v>
      </c>
      <c r="D57" s="4">
        <v>1135.7500000986038</v>
      </c>
    </row>
    <row r="58" spans="1:4" x14ac:dyDescent="0.25">
      <c r="A58" s="8" t="s">
        <v>490</v>
      </c>
      <c r="B58" s="4">
        <v>7</v>
      </c>
      <c r="C58" s="13">
        <f t="shared" si="0"/>
        <v>34.41666666965466</v>
      </c>
      <c r="D58" s="4">
        <v>1135.7500000986038</v>
      </c>
    </row>
    <row r="59" spans="1:4" x14ac:dyDescent="0.25">
      <c r="A59" s="8" t="s">
        <v>491</v>
      </c>
      <c r="B59" s="4">
        <v>8</v>
      </c>
      <c r="C59" s="13">
        <f t="shared" si="0"/>
        <v>36.666666668374091</v>
      </c>
      <c r="D59" s="4">
        <v>1210.000000056345</v>
      </c>
    </row>
    <row r="60" spans="1:4" x14ac:dyDescent="0.25">
      <c r="A60" s="8" t="s">
        <v>483</v>
      </c>
      <c r="B60" s="4">
        <v>9</v>
      </c>
      <c r="C60" s="13">
        <f t="shared" si="0"/>
        <v>45</v>
      </c>
      <c r="D60" s="4">
        <v>1485</v>
      </c>
    </row>
    <row r="61" spans="1:4" x14ac:dyDescent="0.25">
      <c r="A61" s="8" t="s">
        <v>478</v>
      </c>
      <c r="B61" s="4">
        <v>9</v>
      </c>
      <c r="C61" s="13">
        <f t="shared" si="0"/>
        <v>45.749999994586688</v>
      </c>
      <c r="D61" s="4">
        <v>1509.7499998213607</v>
      </c>
    </row>
    <row r="62" spans="1:4" x14ac:dyDescent="0.25">
      <c r="A62" s="8" t="s">
        <v>479</v>
      </c>
      <c r="B62" s="4">
        <v>9</v>
      </c>
      <c r="C62" s="13">
        <f t="shared" si="0"/>
        <v>41.99999999650754</v>
      </c>
      <c r="D62" s="4">
        <v>1385.9999998847488</v>
      </c>
    </row>
    <row r="63" spans="1:4" x14ac:dyDescent="0.25">
      <c r="A63" s="8" t="s">
        <v>484</v>
      </c>
      <c r="B63" s="4">
        <v>9</v>
      </c>
      <c r="C63" s="13">
        <f t="shared" si="0"/>
        <v>43.500000009255018</v>
      </c>
      <c r="D63" s="4">
        <v>1435.5000003054156</v>
      </c>
    </row>
    <row r="64" spans="1:4" x14ac:dyDescent="0.25">
      <c r="A64" s="8" t="s">
        <v>480</v>
      </c>
      <c r="B64" s="4">
        <v>7</v>
      </c>
      <c r="C64" s="13">
        <f t="shared" si="0"/>
        <v>33.833333324640989</v>
      </c>
      <c r="D64" s="4">
        <v>1116.4999997131526</v>
      </c>
    </row>
    <row r="65" spans="1:4" x14ac:dyDescent="0.25">
      <c r="A65" s="32" t="s">
        <v>103</v>
      </c>
      <c r="B65" s="33">
        <v>516</v>
      </c>
      <c r="C65" s="34">
        <f t="shared" si="0"/>
        <v>2363.8333331560716</v>
      </c>
      <c r="D65" s="33">
        <v>78006.499994150363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988F-6998-4DE0-864B-835DBDF83222}">
  <dimension ref="A1:E46"/>
  <sheetViews>
    <sheetView rightToLeft="1" workbookViewId="0">
      <selection activeCell="J4" sqref="J4"/>
    </sheetView>
  </sheetViews>
  <sheetFormatPr defaultRowHeight="13.8" x14ac:dyDescent="0.25"/>
  <cols>
    <col min="1" max="1" width="9.8984375" style="160" bestFit="1" customWidth="1"/>
    <col min="2" max="2" width="8.69921875" customWidth="1"/>
    <col min="3" max="3" width="14.8984375" customWidth="1"/>
    <col min="4" max="4" width="10.5" customWidth="1"/>
  </cols>
  <sheetData>
    <row r="1" spans="1:5" x14ac:dyDescent="0.25">
      <c r="A1" s="156" t="s">
        <v>143</v>
      </c>
      <c r="B1" s="25" t="s">
        <v>79</v>
      </c>
      <c r="C1" s="25" t="s">
        <v>71</v>
      </c>
      <c r="D1" s="25" t="s">
        <v>224</v>
      </c>
      <c r="E1" s="25" t="s">
        <v>223</v>
      </c>
    </row>
    <row r="2" spans="1:5" x14ac:dyDescent="0.25">
      <c r="A2" s="157">
        <v>46055.291666666701</v>
      </c>
      <c r="B2" s="4">
        <v>8</v>
      </c>
      <c r="C2" s="13">
        <v>29.999999986961484</v>
      </c>
      <c r="D2" s="13">
        <f>C2*E2</f>
        <v>1049.9999995436519</v>
      </c>
      <c r="E2" s="4">
        <v>35</v>
      </c>
    </row>
    <row r="3" spans="1:5" x14ac:dyDescent="0.25">
      <c r="A3" s="157">
        <v>46057.291666666701</v>
      </c>
      <c r="B3" s="4">
        <v>8</v>
      </c>
      <c r="C3" s="13">
        <v>35.999999986961484</v>
      </c>
      <c r="D3" s="13">
        <v>1259.9999995436519</v>
      </c>
      <c r="E3" s="4">
        <v>35</v>
      </c>
    </row>
    <row r="4" spans="1:5" x14ac:dyDescent="0.25">
      <c r="A4" s="157">
        <v>46058.291666666701</v>
      </c>
      <c r="B4" s="4">
        <v>9</v>
      </c>
      <c r="C4" s="13">
        <v>41.250000001920853</v>
      </c>
      <c r="D4" s="13">
        <v>1443.7500000672298</v>
      </c>
      <c r="E4" s="4">
        <v>35</v>
      </c>
    </row>
    <row r="5" spans="1:5" x14ac:dyDescent="0.25">
      <c r="A5" s="157">
        <v>46062.291666666701</v>
      </c>
      <c r="B5" s="4">
        <v>8</v>
      </c>
      <c r="C5" s="13">
        <v>36.666666668374091</v>
      </c>
      <c r="D5" s="13">
        <v>1283.3333333930932</v>
      </c>
      <c r="E5" s="4">
        <v>35</v>
      </c>
    </row>
    <row r="6" spans="1:5" x14ac:dyDescent="0.25">
      <c r="A6" s="157">
        <v>46062.291666666701</v>
      </c>
      <c r="B6" s="4">
        <v>4</v>
      </c>
      <c r="C6" s="13">
        <v>17.999999993480742</v>
      </c>
      <c r="D6" s="13">
        <v>629.99999977182597</v>
      </c>
      <c r="E6" s="4">
        <v>35</v>
      </c>
    </row>
    <row r="7" spans="1:5" x14ac:dyDescent="0.25">
      <c r="A7" s="157">
        <v>46063.284722222197</v>
      </c>
      <c r="B7" s="4">
        <v>5</v>
      </c>
      <c r="C7" s="13">
        <v>23.750000008149073</v>
      </c>
      <c r="D7" s="13">
        <v>831.25000028521754</v>
      </c>
      <c r="E7" s="4">
        <v>35</v>
      </c>
    </row>
    <row r="8" spans="1:5" x14ac:dyDescent="0.25">
      <c r="A8" s="157">
        <v>46063.284722222197</v>
      </c>
      <c r="B8" s="4">
        <v>4</v>
      </c>
      <c r="C8" s="13">
        <v>19.000000006519258</v>
      </c>
      <c r="D8" s="13">
        <v>665.00000022817403</v>
      </c>
      <c r="E8" s="4">
        <v>35</v>
      </c>
    </row>
    <row r="9" spans="1:5" x14ac:dyDescent="0.25">
      <c r="A9" s="157">
        <v>46065.291666666701</v>
      </c>
      <c r="B9" s="4">
        <v>9</v>
      </c>
      <c r="C9" s="13">
        <v>41.250000001920853</v>
      </c>
      <c r="D9" s="13">
        <v>1443.7500000672298</v>
      </c>
      <c r="E9" s="4">
        <v>35</v>
      </c>
    </row>
    <row r="10" spans="1:5" x14ac:dyDescent="0.25">
      <c r="A10" s="157">
        <v>46065.291666666701</v>
      </c>
      <c r="B10" s="4">
        <v>4</v>
      </c>
      <c r="C10" s="13">
        <v>18.333333334187046</v>
      </c>
      <c r="D10" s="13">
        <v>641.6666666965466</v>
      </c>
      <c r="E10" s="4">
        <v>35</v>
      </c>
    </row>
    <row r="11" spans="1:5" x14ac:dyDescent="0.25">
      <c r="A11" s="157">
        <v>46065.291666666701</v>
      </c>
      <c r="B11" s="4">
        <v>4</v>
      </c>
      <c r="C11" s="13">
        <v>18.333333334187046</v>
      </c>
      <c r="D11" s="13">
        <v>641.6666666965466</v>
      </c>
      <c r="E11" s="4">
        <v>35</v>
      </c>
    </row>
    <row r="12" spans="1:5" x14ac:dyDescent="0.25">
      <c r="A12" s="157">
        <v>46069.28125</v>
      </c>
      <c r="B12" s="4">
        <v>2</v>
      </c>
      <c r="C12" s="13">
        <v>9.8333333345362917</v>
      </c>
      <c r="D12" s="13">
        <v>344.16666670877021</v>
      </c>
      <c r="E12" s="4">
        <v>35</v>
      </c>
    </row>
    <row r="13" spans="1:5" x14ac:dyDescent="0.25">
      <c r="A13" s="157">
        <v>46069.28125</v>
      </c>
      <c r="B13" s="4">
        <v>3</v>
      </c>
      <c r="C13" s="13">
        <v>14.750000001804437</v>
      </c>
      <c r="D13" s="13">
        <v>516.25000006315531</v>
      </c>
      <c r="E13" s="4">
        <v>35</v>
      </c>
    </row>
    <row r="14" spans="1:5" x14ac:dyDescent="0.25">
      <c r="A14" s="157">
        <v>46069.291666666701</v>
      </c>
      <c r="B14" s="4">
        <v>4</v>
      </c>
      <c r="C14" s="13">
        <v>17.999999993480742</v>
      </c>
      <c r="D14" s="13">
        <v>629.99999977182597</v>
      </c>
      <c r="E14" s="4">
        <v>35</v>
      </c>
    </row>
    <row r="15" spans="1:5" x14ac:dyDescent="0.25">
      <c r="A15" s="157">
        <v>46070.28125</v>
      </c>
      <c r="B15" s="4">
        <v>3</v>
      </c>
      <c r="C15" s="13">
        <v>14.249999997555278</v>
      </c>
      <c r="D15" s="13">
        <v>498.74999991443474</v>
      </c>
      <c r="E15" s="4">
        <v>35</v>
      </c>
    </row>
    <row r="16" spans="1:5" x14ac:dyDescent="0.25">
      <c r="A16" s="157">
        <v>46070.28125</v>
      </c>
      <c r="B16" s="4">
        <v>4</v>
      </c>
      <c r="C16" s="13">
        <v>18.999999996740371</v>
      </c>
      <c r="D16" s="13">
        <v>664.99999988591298</v>
      </c>
      <c r="E16" s="4">
        <v>35</v>
      </c>
    </row>
    <row r="17" spans="1:5" x14ac:dyDescent="0.25">
      <c r="A17" s="157">
        <v>46070.28125</v>
      </c>
      <c r="B17" s="4">
        <v>1</v>
      </c>
      <c r="C17" s="13">
        <v>2.4999999991850927</v>
      </c>
      <c r="D17" s="13">
        <v>87.499999971478246</v>
      </c>
      <c r="E17" s="4">
        <v>35</v>
      </c>
    </row>
    <row r="18" spans="1:5" x14ac:dyDescent="0.25">
      <c r="A18" s="157">
        <v>46071.28125</v>
      </c>
      <c r="B18" s="4">
        <v>4</v>
      </c>
      <c r="C18" s="13">
        <v>18.999999996740371</v>
      </c>
      <c r="D18" s="13">
        <v>664.99999988591298</v>
      </c>
      <c r="E18" s="4">
        <v>35</v>
      </c>
    </row>
    <row r="19" spans="1:5" x14ac:dyDescent="0.25">
      <c r="A19" s="157">
        <v>46071.284722222197</v>
      </c>
      <c r="B19" s="4">
        <v>4</v>
      </c>
      <c r="C19" s="13">
        <v>19.000000006519258</v>
      </c>
      <c r="D19" s="13">
        <v>665.00000022817403</v>
      </c>
      <c r="E19" s="4">
        <v>35</v>
      </c>
    </row>
    <row r="20" spans="1:5" x14ac:dyDescent="0.25">
      <c r="A20" s="157">
        <v>46071.284722222197</v>
      </c>
      <c r="B20" s="4">
        <v>8</v>
      </c>
      <c r="C20" s="13">
        <v>38.000000013038516</v>
      </c>
      <c r="D20" s="13">
        <v>760.00000026077032</v>
      </c>
      <c r="E20" s="4">
        <v>20</v>
      </c>
    </row>
    <row r="21" spans="1:5" x14ac:dyDescent="0.25">
      <c r="A21" s="157">
        <v>46072.284722222197</v>
      </c>
      <c r="B21" s="4">
        <v>5</v>
      </c>
      <c r="C21" s="13">
        <v>22.916666668606922</v>
      </c>
      <c r="D21" s="13">
        <v>802.08333340124227</v>
      </c>
      <c r="E21" s="4">
        <v>35</v>
      </c>
    </row>
    <row r="22" spans="1:5" x14ac:dyDescent="0.25">
      <c r="A22" s="157">
        <v>46072.291666666701</v>
      </c>
      <c r="B22" s="4">
        <v>8</v>
      </c>
      <c r="C22" s="13">
        <v>35.999999986961484</v>
      </c>
      <c r="D22" s="13">
        <v>1259.9999995436519</v>
      </c>
      <c r="E22" s="4">
        <v>35</v>
      </c>
    </row>
    <row r="23" spans="1:5" x14ac:dyDescent="0.25">
      <c r="A23" s="157">
        <v>46072.291666666701</v>
      </c>
      <c r="B23" s="4">
        <v>4</v>
      </c>
      <c r="C23" s="13">
        <v>18.333333334187046</v>
      </c>
      <c r="D23" s="13">
        <v>641.6666666965466</v>
      </c>
      <c r="E23" s="4">
        <v>35</v>
      </c>
    </row>
    <row r="24" spans="1:5" x14ac:dyDescent="0.25">
      <c r="A24" s="157">
        <v>46072.291666666701</v>
      </c>
      <c r="B24" s="4">
        <v>7</v>
      </c>
      <c r="C24" s="13">
        <v>32.08333333482733</v>
      </c>
      <c r="D24" s="13">
        <v>641.6666666965466</v>
      </c>
      <c r="E24" s="4">
        <v>20</v>
      </c>
    </row>
    <row r="25" spans="1:5" x14ac:dyDescent="0.25">
      <c r="A25" s="157">
        <v>46077.364583333299</v>
      </c>
      <c r="B25" s="4">
        <v>7</v>
      </c>
      <c r="C25" s="13">
        <v>19.25</v>
      </c>
      <c r="D25" s="13">
        <v>673.75</v>
      </c>
      <c r="E25" s="4">
        <v>35</v>
      </c>
    </row>
    <row r="26" spans="1:5" x14ac:dyDescent="0.25">
      <c r="A26" s="157">
        <v>46077.375</v>
      </c>
      <c r="B26" s="4">
        <v>4</v>
      </c>
      <c r="C26" s="13">
        <v>11</v>
      </c>
      <c r="D26" s="13">
        <v>385</v>
      </c>
      <c r="E26" s="4">
        <v>35</v>
      </c>
    </row>
    <row r="27" spans="1:5" x14ac:dyDescent="0.25">
      <c r="A27" s="157">
        <v>46077.375</v>
      </c>
      <c r="B27" s="4">
        <v>6</v>
      </c>
      <c r="C27" s="13">
        <v>16.5</v>
      </c>
      <c r="D27" s="13">
        <v>577.5</v>
      </c>
      <c r="E27" s="4">
        <v>35</v>
      </c>
    </row>
    <row r="28" spans="1:5" x14ac:dyDescent="0.25">
      <c r="A28" s="157">
        <v>46078.277777777803</v>
      </c>
      <c r="B28" s="4">
        <v>5</v>
      </c>
      <c r="C28" s="13">
        <v>24.166666659584735</v>
      </c>
      <c r="D28" s="13">
        <v>845.83333308546571</v>
      </c>
      <c r="E28" s="4">
        <v>35</v>
      </c>
    </row>
    <row r="29" spans="1:5" x14ac:dyDescent="0.25">
      <c r="A29" s="157">
        <v>46078.277777777803</v>
      </c>
      <c r="B29" s="4">
        <v>1</v>
      </c>
      <c r="C29" s="13">
        <v>1.7499999991850927</v>
      </c>
      <c r="D29" s="13">
        <v>61.249999971478246</v>
      </c>
      <c r="E29" s="4">
        <v>35</v>
      </c>
    </row>
    <row r="30" spans="1:5" x14ac:dyDescent="0.25">
      <c r="A30" s="157">
        <v>46078.28125</v>
      </c>
      <c r="B30" s="4">
        <v>4</v>
      </c>
      <c r="C30" s="13">
        <v>18.999999996740371</v>
      </c>
      <c r="D30" s="13">
        <v>664.99999988591298</v>
      </c>
      <c r="E30" s="4">
        <v>35</v>
      </c>
    </row>
    <row r="31" spans="1:5" x14ac:dyDescent="0.25">
      <c r="A31" s="157">
        <v>46078.28125</v>
      </c>
      <c r="B31" s="4">
        <v>5</v>
      </c>
      <c r="C31" s="13">
        <v>23.749999995925464</v>
      </c>
      <c r="D31" s="13">
        <v>831.24999985739123</v>
      </c>
      <c r="E31" s="4">
        <v>35</v>
      </c>
    </row>
    <row r="32" spans="1:5" x14ac:dyDescent="0.25">
      <c r="A32" s="157">
        <v>46078.28125</v>
      </c>
      <c r="B32" s="4">
        <v>1</v>
      </c>
      <c r="C32" s="13">
        <v>3.5</v>
      </c>
      <c r="D32" s="13">
        <v>122.5</v>
      </c>
      <c r="E32" s="4">
        <v>35</v>
      </c>
    </row>
    <row r="33" spans="1:5" x14ac:dyDescent="0.25">
      <c r="A33" s="157">
        <v>46080.277777777803</v>
      </c>
      <c r="B33" s="4">
        <v>5</v>
      </c>
      <c r="C33" s="13">
        <v>24.583333335467614</v>
      </c>
      <c r="D33" s="13">
        <v>860.4166667413665</v>
      </c>
      <c r="E33" s="4">
        <v>35</v>
      </c>
    </row>
    <row r="34" spans="1:5" x14ac:dyDescent="0.25">
      <c r="A34" s="157">
        <v>46080.277777777803</v>
      </c>
      <c r="B34" s="4">
        <v>1</v>
      </c>
      <c r="C34" s="13">
        <v>1.9999999994761311</v>
      </c>
      <c r="D34" s="13">
        <v>69.999999981664587</v>
      </c>
      <c r="E34" s="4">
        <v>35</v>
      </c>
    </row>
    <row r="35" spans="1:5" x14ac:dyDescent="0.25">
      <c r="A35" s="157">
        <v>46080.28125</v>
      </c>
      <c r="B35" s="4">
        <v>4</v>
      </c>
      <c r="C35" s="13">
        <v>18.999999996740371</v>
      </c>
      <c r="D35" s="13">
        <v>664.99999988591298</v>
      </c>
      <c r="E35" s="4">
        <v>35</v>
      </c>
    </row>
    <row r="36" spans="1:5" x14ac:dyDescent="0.25">
      <c r="A36" s="158"/>
      <c r="B36" s="5"/>
      <c r="C36" s="26">
        <v>0</v>
      </c>
      <c r="D36" s="26">
        <v>23824.999998730782</v>
      </c>
      <c r="E36" s="5"/>
    </row>
    <row r="37" spans="1:5" x14ac:dyDescent="0.25">
      <c r="A37" s="157">
        <v>46055.270833333299</v>
      </c>
      <c r="B37" s="4">
        <v>8</v>
      </c>
      <c r="C37" s="13">
        <v>34</v>
      </c>
      <c r="D37" s="13">
        <v>1190</v>
      </c>
      <c r="E37" s="4">
        <v>35</v>
      </c>
    </row>
    <row r="38" spans="1:5" x14ac:dyDescent="0.25">
      <c r="A38" s="157">
        <v>46057.270833333299</v>
      </c>
      <c r="B38" s="4">
        <v>9</v>
      </c>
      <c r="C38" s="13">
        <v>42.750000014668331</v>
      </c>
      <c r="D38" s="13">
        <v>1496.2500005133916</v>
      </c>
      <c r="E38" s="4">
        <v>35</v>
      </c>
    </row>
    <row r="39" spans="1:5" x14ac:dyDescent="0.25">
      <c r="A39" s="157">
        <v>46058.270833333299</v>
      </c>
      <c r="B39" s="4">
        <v>9</v>
      </c>
      <c r="C39" s="13">
        <v>29.250000014668331</v>
      </c>
      <c r="D39" s="13">
        <v>1023.7500005133916</v>
      </c>
      <c r="E39" s="4">
        <v>35</v>
      </c>
    </row>
    <row r="40" spans="1:5" x14ac:dyDescent="0.25">
      <c r="A40" s="157">
        <v>46062.270833333299</v>
      </c>
      <c r="B40" s="4">
        <v>8</v>
      </c>
      <c r="C40" s="13">
        <v>40</v>
      </c>
      <c r="D40" s="13">
        <v>1400</v>
      </c>
      <c r="E40" s="4">
        <v>35</v>
      </c>
    </row>
    <row r="41" spans="1:5" x14ac:dyDescent="0.25">
      <c r="A41" s="157">
        <v>46063.270833333299</v>
      </c>
      <c r="B41" s="4">
        <v>9</v>
      </c>
      <c r="C41" s="13">
        <v>42.750000014668331</v>
      </c>
      <c r="D41" s="13">
        <v>1496.2500005133916</v>
      </c>
      <c r="E41" s="4">
        <v>35</v>
      </c>
    </row>
    <row r="42" spans="1:5" x14ac:dyDescent="0.25">
      <c r="A42" s="157">
        <v>46069.270833333299</v>
      </c>
      <c r="B42" s="4">
        <v>8</v>
      </c>
      <c r="C42" s="13">
        <v>38.000000013038516</v>
      </c>
      <c r="D42" s="13">
        <v>1330.0000004563481</v>
      </c>
      <c r="E42" s="4">
        <v>35</v>
      </c>
    </row>
    <row r="43" spans="1:5" x14ac:dyDescent="0.25">
      <c r="A43" s="157">
        <v>46070.270833333299</v>
      </c>
      <c r="B43" s="4">
        <v>7</v>
      </c>
      <c r="C43" s="13">
        <v>33.250000011408702</v>
      </c>
      <c r="D43" s="13">
        <v>1163.7500003993046</v>
      </c>
      <c r="E43" s="4">
        <v>35</v>
      </c>
    </row>
    <row r="44" spans="1:5" x14ac:dyDescent="0.25">
      <c r="A44" s="157">
        <v>46071.270833333299</v>
      </c>
      <c r="B44" s="4">
        <v>9</v>
      </c>
      <c r="C44" s="13">
        <v>29.250000014668331</v>
      </c>
      <c r="D44" s="13">
        <v>1023.7500005133916</v>
      </c>
      <c r="E44" s="4">
        <v>35</v>
      </c>
    </row>
    <row r="45" spans="1:5" x14ac:dyDescent="0.25">
      <c r="A45" s="158"/>
      <c r="B45" s="5"/>
      <c r="C45" s="26"/>
      <c r="D45" s="26">
        <v>10123.750002909219</v>
      </c>
      <c r="E45" s="5"/>
    </row>
    <row r="46" spans="1:5" x14ac:dyDescent="0.25">
      <c r="A46" s="159"/>
      <c r="B46" s="27"/>
      <c r="C46" s="28"/>
      <c r="D46" s="28">
        <v>33948.750001640001</v>
      </c>
      <c r="E46" s="27"/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9E37-ACC0-43FE-AA0F-234EA6FF9EE4}">
  <dimension ref="A1:N77"/>
  <sheetViews>
    <sheetView rightToLeft="1" topLeftCell="D48" zoomScale="68" zoomScaleNormal="68" workbookViewId="0">
      <selection activeCell="I71" sqref="I71"/>
    </sheetView>
  </sheetViews>
  <sheetFormatPr defaultRowHeight="13.8" x14ac:dyDescent="0.25"/>
  <cols>
    <col min="1" max="1" width="0" hidden="1" customWidth="1"/>
    <col min="2" max="2" width="0" style="6" hidden="1" customWidth="1"/>
    <col min="3" max="3" width="0" style="7" hidden="1" customWidth="1"/>
    <col min="4" max="4" width="28" style="56" customWidth="1"/>
    <col min="5" max="7" width="28" style="6" customWidth="1"/>
    <col min="8" max="8" width="28" style="65" customWidth="1"/>
    <col min="9" max="9" width="28" style="6" customWidth="1"/>
    <col min="10" max="10" width="28" customWidth="1"/>
    <col min="13" max="13" width="9.69921875" bestFit="1" customWidth="1"/>
  </cols>
  <sheetData>
    <row r="1" spans="1:13" ht="28.2" customHeight="1" x14ac:dyDescent="0.25">
      <c r="A1" t="s">
        <v>150</v>
      </c>
      <c r="B1" t="s">
        <v>151</v>
      </c>
      <c r="C1" t="s">
        <v>152</v>
      </c>
      <c r="D1" s="54" t="s">
        <v>153</v>
      </c>
      <c r="E1" s="16" t="s">
        <v>154</v>
      </c>
      <c r="F1" s="16" t="s">
        <v>155</v>
      </c>
      <c r="G1" s="16" t="s">
        <v>156</v>
      </c>
      <c r="H1" s="16" t="s">
        <v>157</v>
      </c>
      <c r="I1" s="16" t="s">
        <v>158</v>
      </c>
      <c r="J1" s="16" t="s">
        <v>159</v>
      </c>
      <c r="K1" t="s">
        <v>279</v>
      </c>
      <c r="L1" t="s">
        <v>561</v>
      </c>
      <c r="M1" t="s">
        <v>562</v>
      </c>
    </row>
    <row r="2" spans="1:13" x14ac:dyDescent="0.25">
      <c r="A2" t="s">
        <v>280</v>
      </c>
      <c r="B2" s="6" t="s">
        <v>281</v>
      </c>
      <c r="C2" s="7">
        <v>46081.959259259304</v>
      </c>
      <c r="D2" s="55" t="s">
        <v>160</v>
      </c>
      <c r="E2" s="17" t="s">
        <v>161</v>
      </c>
      <c r="F2" s="17" t="s">
        <v>98</v>
      </c>
      <c r="G2" s="17" t="s">
        <v>162</v>
      </c>
      <c r="H2" s="17" t="s">
        <v>99</v>
      </c>
      <c r="I2" s="17" t="s">
        <v>42</v>
      </c>
      <c r="J2" s="18" t="s">
        <v>97</v>
      </c>
      <c r="K2" s="19"/>
      <c r="L2" s="19"/>
      <c r="M2" s="19"/>
    </row>
    <row r="3" spans="1:13" x14ac:dyDescent="0.25">
      <c r="A3" t="s">
        <v>282</v>
      </c>
      <c r="B3" s="6" t="s">
        <v>283</v>
      </c>
      <c r="C3" s="7">
        <v>46081.959328703699</v>
      </c>
      <c r="D3" s="55" t="s">
        <v>74</v>
      </c>
      <c r="E3" s="17" t="s">
        <v>39</v>
      </c>
      <c r="F3" s="17" t="s">
        <v>109</v>
      </c>
      <c r="G3" s="17" t="s">
        <v>163</v>
      </c>
      <c r="H3" s="17" t="s">
        <v>65</v>
      </c>
      <c r="I3" s="17" t="s">
        <v>39</v>
      </c>
      <c r="J3" s="18" t="s">
        <v>66</v>
      </c>
      <c r="K3" s="18"/>
      <c r="L3" s="18"/>
      <c r="M3" s="18"/>
    </row>
    <row r="4" spans="1:13" x14ac:dyDescent="0.25">
      <c r="A4" t="s">
        <v>284</v>
      </c>
      <c r="B4" s="6" t="s">
        <v>285</v>
      </c>
      <c r="C4" s="7">
        <v>46081.959386574097</v>
      </c>
      <c r="D4" s="55" t="s">
        <v>286</v>
      </c>
      <c r="E4" s="17" t="s">
        <v>287</v>
      </c>
      <c r="F4" s="17" t="s">
        <v>288</v>
      </c>
      <c r="G4" s="17" t="s">
        <v>289</v>
      </c>
      <c r="H4" s="17" t="s">
        <v>290</v>
      </c>
      <c r="I4" s="17" t="s">
        <v>287</v>
      </c>
      <c r="J4" s="18" t="s">
        <v>291</v>
      </c>
      <c r="K4" s="18"/>
      <c r="L4" s="18"/>
      <c r="M4" s="18"/>
    </row>
    <row r="5" spans="1:13" x14ac:dyDescent="0.25">
      <c r="A5" t="s">
        <v>292</v>
      </c>
      <c r="B5" s="6" t="s">
        <v>293</v>
      </c>
      <c r="C5" s="7">
        <v>46081.959386574097</v>
      </c>
      <c r="D5" s="55" t="s">
        <v>166</v>
      </c>
      <c r="E5" s="17" t="s">
        <v>167</v>
      </c>
      <c r="F5" s="17" t="s">
        <v>100</v>
      </c>
      <c r="G5" s="17" t="s">
        <v>168</v>
      </c>
      <c r="H5" s="17" t="s">
        <v>101</v>
      </c>
      <c r="I5" s="17" t="s">
        <v>44</v>
      </c>
      <c r="J5" s="18" t="s">
        <v>102</v>
      </c>
      <c r="K5" s="18"/>
      <c r="L5" s="18"/>
      <c r="M5" s="18"/>
    </row>
    <row r="6" spans="1:13" x14ac:dyDescent="0.25">
      <c r="A6" t="s">
        <v>294</v>
      </c>
      <c r="B6" s="6" t="s">
        <v>295</v>
      </c>
      <c r="C6" s="7">
        <v>46081.9594560185</v>
      </c>
      <c r="D6" s="55" t="s">
        <v>145</v>
      </c>
      <c r="E6" s="17" t="s">
        <v>149</v>
      </c>
      <c r="F6" s="17" t="s">
        <v>133</v>
      </c>
      <c r="G6" s="17" t="s">
        <v>169</v>
      </c>
      <c r="H6" s="17" t="s">
        <v>80</v>
      </c>
      <c r="I6" s="17" t="s">
        <v>23</v>
      </c>
      <c r="J6" s="18" t="s">
        <v>81</v>
      </c>
      <c r="K6" s="18"/>
      <c r="L6" s="18"/>
      <c r="M6" s="18"/>
    </row>
    <row r="7" spans="1:13" x14ac:dyDescent="0.25">
      <c r="A7" t="s">
        <v>296</v>
      </c>
      <c r="B7" s="6" t="s">
        <v>297</v>
      </c>
      <c r="C7" s="7">
        <v>46081.959467592598</v>
      </c>
      <c r="D7" s="55" t="s">
        <v>298</v>
      </c>
      <c r="E7" s="17" t="s">
        <v>299</v>
      </c>
      <c r="F7" s="17" t="s">
        <v>300</v>
      </c>
      <c r="G7" s="17" t="s">
        <v>196</v>
      </c>
      <c r="H7" s="17" t="s">
        <v>301</v>
      </c>
      <c r="I7" s="17" t="s">
        <v>299</v>
      </c>
      <c r="J7" s="18" t="s">
        <v>302</v>
      </c>
      <c r="K7" s="18"/>
      <c r="L7" s="18"/>
      <c r="M7" s="18"/>
    </row>
    <row r="8" spans="1:13" x14ac:dyDescent="0.25">
      <c r="A8" t="s">
        <v>303</v>
      </c>
      <c r="B8" s="6" t="s">
        <v>304</v>
      </c>
      <c r="C8" s="7">
        <v>46081.959479166697</v>
      </c>
      <c r="D8" s="55" t="s">
        <v>138</v>
      </c>
      <c r="E8" s="17" t="s">
        <v>170</v>
      </c>
      <c r="F8" s="17" t="s">
        <v>110</v>
      </c>
      <c r="G8" s="17" t="s">
        <v>113</v>
      </c>
      <c r="H8" s="17" t="s">
        <v>111</v>
      </c>
      <c r="I8" s="17" t="s">
        <v>113</v>
      </c>
      <c r="J8" s="18" t="s">
        <v>112</v>
      </c>
      <c r="K8" s="18"/>
      <c r="L8" s="18"/>
      <c r="M8" s="18"/>
    </row>
    <row r="9" spans="1:13" x14ac:dyDescent="0.25">
      <c r="A9" t="s">
        <v>305</v>
      </c>
      <c r="B9" s="6" t="s">
        <v>306</v>
      </c>
      <c r="C9" s="7">
        <v>46081.959479166697</v>
      </c>
      <c r="D9" s="55" t="s">
        <v>307</v>
      </c>
      <c r="E9" s="17" t="s">
        <v>308</v>
      </c>
      <c r="F9" s="17" t="s">
        <v>309</v>
      </c>
      <c r="G9" s="17" t="s">
        <v>310</v>
      </c>
      <c r="H9" s="17" t="s">
        <v>311</v>
      </c>
      <c r="I9" s="17" t="s">
        <v>312</v>
      </c>
      <c r="J9" s="18" t="s">
        <v>313</v>
      </c>
      <c r="K9" s="18"/>
      <c r="L9" s="18"/>
      <c r="M9" s="18"/>
    </row>
    <row r="10" spans="1:13" x14ac:dyDescent="0.25">
      <c r="A10" t="s">
        <v>314</v>
      </c>
      <c r="B10" s="6" t="s">
        <v>315</v>
      </c>
      <c r="C10" s="7">
        <v>46081.959490740701</v>
      </c>
      <c r="D10" s="55" t="s">
        <v>316</v>
      </c>
      <c r="E10" s="17" t="s">
        <v>317</v>
      </c>
      <c r="F10" s="17" t="s">
        <v>318</v>
      </c>
      <c r="G10" s="17" t="s">
        <v>319</v>
      </c>
      <c r="H10" s="17" t="s">
        <v>320</v>
      </c>
      <c r="I10" s="17" t="s">
        <v>321</v>
      </c>
      <c r="J10" s="18" t="s">
        <v>322</v>
      </c>
      <c r="K10" s="18"/>
      <c r="L10" s="18"/>
      <c r="M10" s="18"/>
    </row>
    <row r="11" spans="1:13" x14ac:dyDescent="0.25">
      <c r="A11" t="s">
        <v>323</v>
      </c>
      <c r="B11" s="6" t="s">
        <v>324</v>
      </c>
      <c r="C11" s="7">
        <v>45726.527083333298</v>
      </c>
      <c r="D11" s="55" t="s">
        <v>325</v>
      </c>
      <c r="E11" s="17" t="s">
        <v>326</v>
      </c>
      <c r="F11" s="17" t="s">
        <v>327</v>
      </c>
      <c r="G11" s="17" t="s">
        <v>168</v>
      </c>
      <c r="H11" s="17" t="s">
        <v>328</v>
      </c>
      <c r="I11" s="17" t="s">
        <v>329</v>
      </c>
      <c r="J11" s="18" t="s">
        <v>330</v>
      </c>
      <c r="K11" s="18"/>
      <c r="L11" s="18"/>
      <c r="M11" s="18"/>
    </row>
    <row r="12" spans="1:13" x14ac:dyDescent="0.25">
      <c r="A12" t="s">
        <v>331</v>
      </c>
      <c r="B12" s="6" t="s">
        <v>332</v>
      </c>
      <c r="C12" s="7">
        <v>46081.959537037001</v>
      </c>
      <c r="D12" s="55" t="s">
        <v>73</v>
      </c>
      <c r="E12" s="17" t="s">
        <v>171</v>
      </c>
      <c r="F12" s="17" t="s">
        <v>108</v>
      </c>
      <c r="G12" s="17" t="s">
        <v>172</v>
      </c>
      <c r="H12" s="17" t="s">
        <v>64</v>
      </c>
      <c r="I12" s="17" t="s">
        <v>36</v>
      </c>
      <c r="J12" s="15" t="s">
        <v>277</v>
      </c>
      <c r="K12" s="18"/>
      <c r="L12" s="18"/>
      <c r="M12" s="18"/>
    </row>
    <row r="13" spans="1:13" x14ac:dyDescent="0.25">
      <c r="A13" t="s">
        <v>333</v>
      </c>
      <c r="B13" s="6" t="s">
        <v>334</v>
      </c>
      <c r="C13" s="7">
        <v>46081.959733796299</v>
      </c>
      <c r="D13" s="55" t="s">
        <v>173</v>
      </c>
      <c r="E13" s="17" t="s">
        <v>39</v>
      </c>
      <c r="F13" s="17" t="s">
        <v>109</v>
      </c>
      <c r="G13" s="17" t="s">
        <v>163</v>
      </c>
      <c r="H13" s="17" t="s">
        <v>65</v>
      </c>
      <c r="I13" s="17" t="s">
        <v>39</v>
      </c>
      <c r="J13" s="18" t="s">
        <v>66</v>
      </c>
      <c r="K13" s="18"/>
      <c r="L13" s="18"/>
      <c r="M13" s="18"/>
    </row>
    <row r="14" spans="1:13" x14ac:dyDescent="0.25">
      <c r="A14" t="s">
        <v>335</v>
      </c>
      <c r="B14" s="6" t="s">
        <v>336</v>
      </c>
      <c r="C14" s="7">
        <v>45990.722743055601</v>
      </c>
      <c r="D14" s="55" t="s">
        <v>146</v>
      </c>
      <c r="E14" s="17" t="s">
        <v>174</v>
      </c>
      <c r="F14" s="17" t="s">
        <v>134</v>
      </c>
      <c r="G14" s="17" t="s">
        <v>175</v>
      </c>
      <c r="H14" s="17"/>
      <c r="I14" s="17"/>
      <c r="J14" s="18"/>
      <c r="K14" s="18"/>
      <c r="L14" s="18"/>
      <c r="M14" s="18"/>
    </row>
    <row r="15" spans="1:13" x14ac:dyDescent="0.25">
      <c r="A15" t="s">
        <v>337</v>
      </c>
      <c r="B15" s="6" t="s">
        <v>338</v>
      </c>
      <c r="C15" s="7">
        <v>45999.414259259298</v>
      </c>
      <c r="D15" s="55" t="s">
        <v>227</v>
      </c>
      <c r="E15" s="17" t="s">
        <v>228</v>
      </c>
      <c r="F15" s="17" t="s">
        <v>229</v>
      </c>
      <c r="G15" s="17" t="s">
        <v>230</v>
      </c>
      <c r="H15" s="17" t="s">
        <v>231</v>
      </c>
      <c r="I15" s="17" t="s">
        <v>232</v>
      </c>
      <c r="J15" s="18" t="s">
        <v>233</v>
      </c>
      <c r="K15" s="18"/>
      <c r="L15" s="18"/>
      <c r="M15" s="18"/>
    </row>
    <row r="16" spans="1:13" x14ac:dyDescent="0.25">
      <c r="A16" t="s">
        <v>339</v>
      </c>
      <c r="B16" s="6" t="s">
        <v>340</v>
      </c>
      <c r="C16" s="7">
        <v>46081.960462962998</v>
      </c>
      <c r="D16" s="55" t="s">
        <v>341</v>
      </c>
      <c r="E16" s="17" t="s">
        <v>342</v>
      </c>
      <c r="F16" s="17" t="s">
        <v>343</v>
      </c>
      <c r="G16" s="17" t="s">
        <v>344</v>
      </c>
      <c r="H16" s="17" t="s">
        <v>345</v>
      </c>
      <c r="I16" s="17" t="s">
        <v>342</v>
      </c>
      <c r="J16" s="18"/>
      <c r="K16" s="18"/>
      <c r="L16" s="18"/>
      <c r="M16" s="18"/>
    </row>
    <row r="17" spans="1:13" x14ac:dyDescent="0.25">
      <c r="A17" t="s">
        <v>346</v>
      </c>
      <c r="B17" s="6" t="s">
        <v>347</v>
      </c>
      <c r="C17" s="7">
        <v>46081.960787037002</v>
      </c>
      <c r="D17" s="55" t="s">
        <v>176</v>
      </c>
      <c r="E17" s="17" t="s">
        <v>177</v>
      </c>
      <c r="F17" s="17" t="s">
        <v>94</v>
      </c>
      <c r="G17" s="17" t="s">
        <v>128</v>
      </c>
      <c r="H17" s="17" t="s">
        <v>95</v>
      </c>
      <c r="I17" s="17" t="s">
        <v>43</v>
      </c>
      <c r="J17" s="18" t="s">
        <v>96</v>
      </c>
      <c r="K17" s="18"/>
      <c r="L17" s="18"/>
      <c r="M17" s="18"/>
    </row>
    <row r="18" spans="1:13" x14ac:dyDescent="0.25">
      <c r="A18" t="s">
        <v>348</v>
      </c>
      <c r="B18" s="6" t="s">
        <v>349</v>
      </c>
      <c r="C18" s="7">
        <v>46081.960810185199</v>
      </c>
      <c r="D18" s="55" t="s">
        <v>135</v>
      </c>
      <c r="E18" s="17" t="s">
        <v>178</v>
      </c>
      <c r="F18" s="17" t="s">
        <v>118</v>
      </c>
      <c r="G18" s="17" t="s">
        <v>179</v>
      </c>
      <c r="H18" s="17" t="s">
        <v>119</v>
      </c>
      <c r="I18" s="17" t="s">
        <v>120</v>
      </c>
      <c r="J18" s="18" t="s">
        <v>117</v>
      </c>
      <c r="K18" s="18"/>
      <c r="L18" s="18"/>
      <c r="M18" s="18"/>
    </row>
    <row r="19" spans="1:13" x14ac:dyDescent="0.25">
      <c r="A19" t="s">
        <v>350</v>
      </c>
      <c r="B19" s="6" t="s">
        <v>351</v>
      </c>
      <c r="C19" s="7">
        <v>46081.9608449074</v>
      </c>
      <c r="D19" s="55" t="s">
        <v>352</v>
      </c>
      <c r="E19" s="17" t="s">
        <v>353</v>
      </c>
      <c r="F19" s="17" t="s">
        <v>354</v>
      </c>
      <c r="G19" s="17" t="s">
        <v>355</v>
      </c>
      <c r="H19" s="17" t="s">
        <v>356</v>
      </c>
      <c r="I19" s="17" t="s">
        <v>357</v>
      </c>
      <c r="J19" s="18" t="s">
        <v>358</v>
      </c>
      <c r="K19" s="18"/>
      <c r="L19" s="18"/>
      <c r="M19" s="18"/>
    </row>
    <row r="20" spans="1:13" x14ac:dyDescent="0.25">
      <c r="A20" t="s">
        <v>359</v>
      </c>
      <c r="B20" s="6" t="s">
        <v>360</v>
      </c>
      <c r="C20" s="7">
        <v>46081.960856481499</v>
      </c>
      <c r="D20" s="55" t="s">
        <v>75</v>
      </c>
      <c r="E20" s="17" t="s">
        <v>180</v>
      </c>
      <c r="F20" s="17" t="s">
        <v>106</v>
      </c>
      <c r="G20" s="17" t="s">
        <v>75</v>
      </c>
      <c r="H20" s="17" t="s">
        <v>67</v>
      </c>
      <c r="I20" s="17" t="s">
        <v>38</v>
      </c>
      <c r="J20" s="14" t="s">
        <v>278</v>
      </c>
      <c r="K20" s="18"/>
      <c r="L20" s="18"/>
      <c r="M20" s="18"/>
    </row>
    <row r="21" spans="1:13" x14ac:dyDescent="0.25">
      <c r="A21" t="s">
        <v>361</v>
      </c>
      <c r="B21" s="6" t="s">
        <v>362</v>
      </c>
      <c r="C21" s="7">
        <v>46081.960868055598</v>
      </c>
      <c r="D21" s="55" t="s">
        <v>235</v>
      </c>
      <c r="E21" s="17" t="s">
        <v>236</v>
      </c>
      <c r="F21" s="17" t="s">
        <v>237</v>
      </c>
      <c r="G21" s="17" t="s">
        <v>197</v>
      </c>
      <c r="H21" s="17" t="s">
        <v>238</v>
      </c>
      <c r="I21" s="17" t="s">
        <v>239</v>
      </c>
      <c r="J21" s="18" t="s">
        <v>240</v>
      </c>
      <c r="K21" s="18"/>
      <c r="L21" s="18"/>
      <c r="M21" s="18"/>
    </row>
    <row r="22" spans="1:13" x14ac:dyDescent="0.25">
      <c r="A22" t="s">
        <v>363</v>
      </c>
      <c r="B22" s="6" t="s">
        <v>364</v>
      </c>
      <c r="C22" s="7">
        <v>46081.960879629602</v>
      </c>
      <c r="D22" s="55" t="s">
        <v>139</v>
      </c>
      <c r="E22" s="17" t="s">
        <v>127</v>
      </c>
      <c r="F22" s="17" t="s">
        <v>124</v>
      </c>
      <c r="G22" s="17" t="s">
        <v>179</v>
      </c>
      <c r="H22" s="17" t="s">
        <v>125</v>
      </c>
      <c r="I22" s="17" t="s">
        <v>127</v>
      </c>
      <c r="J22" s="18" t="s">
        <v>126</v>
      </c>
      <c r="K22" s="18"/>
      <c r="L22" s="18"/>
      <c r="M22" s="18"/>
    </row>
    <row r="23" spans="1:13" x14ac:dyDescent="0.25">
      <c r="A23" t="s">
        <v>365</v>
      </c>
      <c r="B23" s="6" t="s">
        <v>366</v>
      </c>
      <c r="C23" s="7">
        <v>46081.9608912037</v>
      </c>
      <c r="D23" s="55" t="s">
        <v>367</v>
      </c>
      <c r="E23" s="17" t="s">
        <v>368</v>
      </c>
      <c r="F23" s="17" t="s">
        <v>369</v>
      </c>
      <c r="G23" s="17" t="s">
        <v>165</v>
      </c>
      <c r="H23" s="17" t="s">
        <v>370</v>
      </c>
      <c r="I23" s="17" t="s">
        <v>371</v>
      </c>
      <c r="J23" s="18" t="s">
        <v>372</v>
      </c>
      <c r="K23" s="18"/>
      <c r="L23" s="18"/>
      <c r="M23" s="18"/>
    </row>
    <row r="24" spans="1:13" x14ac:dyDescent="0.25">
      <c r="A24" t="s">
        <v>373</v>
      </c>
      <c r="B24" s="6" t="s">
        <v>374</v>
      </c>
      <c r="C24" s="7">
        <v>46081.960949074099</v>
      </c>
      <c r="D24" s="55" t="s">
        <v>148</v>
      </c>
      <c r="E24" s="17" t="s">
        <v>181</v>
      </c>
      <c r="F24" s="17" t="s">
        <v>130</v>
      </c>
      <c r="G24" s="17" t="s">
        <v>182</v>
      </c>
      <c r="H24" s="17" t="s">
        <v>131</v>
      </c>
      <c r="I24" s="17" t="s">
        <v>132</v>
      </c>
      <c r="J24" s="18" t="s">
        <v>129</v>
      </c>
      <c r="K24" s="18"/>
      <c r="L24" s="18"/>
      <c r="M24" s="18"/>
    </row>
    <row r="25" spans="1:13" x14ac:dyDescent="0.25">
      <c r="A25" t="s">
        <v>375</v>
      </c>
      <c r="B25" s="6" t="s">
        <v>376</v>
      </c>
      <c r="C25" s="7">
        <v>46081.960972222201</v>
      </c>
      <c r="D25" s="55" t="s">
        <v>147</v>
      </c>
      <c r="E25" s="17" t="s">
        <v>183</v>
      </c>
      <c r="F25" s="17" t="s">
        <v>184</v>
      </c>
      <c r="G25" s="17" t="s">
        <v>185</v>
      </c>
      <c r="H25" s="17" t="s">
        <v>186</v>
      </c>
      <c r="I25" s="17" t="s">
        <v>27</v>
      </c>
      <c r="J25" s="18" t="s">
        <v>187</v>
      </c>
      <c r="K25" s="18"/>
      <c r="L25" s="18"/>
      <c r="M25" s="18"/>
    </row>
    <row r="26" spans="1:13" x14ac:dyDescent="0.25">
      <c r="A26" t="s">
        <v>377</v>
      </c>
      <c r="B26" s="6" t="s">
        <v>378</v>
      </c>
      <c r="C26" s="7">
        <v>46081.9609837963</v>
      </c>
      <c r="D26" s="55" t="s">
        <v>379</v>
      </c>
      <c r="E26" s="17" t="s">
        <v>380</v>
      </c>
      <c r="F26" s="17" t="s">
        <v>381</v>
      </c>
      <c r="G26" s="17" t="s">
        <v>382</v>
      </c>
      <c r="H26" s="17" t="s">
        <v>383</v>
      </c>
      <c r="I26" s="17" t="s">
        <v>380</v>
      </c>
      <c r="J26" s="18" t="s">
        <v>384</v>
      </c>
      <c r="K26" s="18"/>
      <c r="L26" s="18"/>
      <c r="M26" s="18"/>
    </row>
    <row r="27" spans="1:13" x14ac:dyDescent="0.25">
      <c r="A27" t="s">
        <v>385</v>
      </c>
      <c r="B27" s="6" t="s">
        <v>386</v>
      </c>
      <c r="C27" s="7">
        <v>46081.961006944402</v>
      </c>
      <c r="D27" s="55" t="s">
        <v>137</v>
      </c>
      <c r="E27" s="17" t="s">
        <v>188</v>
      </c>
      <c r="F27" s="17" t="s">
        <v>189</v>
      </c>
      <c r="G27" s="17" t="s">
        <v>55</v>
      </c>
      <c r="H27" s="17" t="s">
        <v>122</v>
      </c>
      <c r="I27" s="17" t="s">
        <v>16</v>
      </c>
      <c r="J27" s="18" t="s">
        <v>121</v>
      </c>
      <c r="K27" s="20" t="s">
        <v>276</v>
      </c>
      <c r="L27" s="18"/>
      <c r="M27" s="18"/>
    </row>
    <row r="28" spans="1:13" x14ac:dyDescent="0.25">
      <c r="A28" t="s">
        <v>387</v>
      </c>
      <c r="B28" s="6" t="s">
        <v>388</v>
      </c>
      <c r="C28" s="7">
        <v>46070.517453703702</v>
      </c>
      <c r="D28" s="55" t="s">
        <v>389</v>
      </c>
      <c r="E28" s="17" t="s">
        <v>18</v>
      </c>
      <c r="F28" s="17" t="s">
        <v>390</v>
      </c>
      <c r="G28" s="17" t="s">
        <v>55</v>
      </c>
      <c r="H28" s="17" t="s">
        <v>391</v>
      </c>
      <c r="I28" s="17" t="s">
        <v>18</v>
      </c>
      <c r="J28" s="18" t="s">
        <v>392</v>
      </c>
      <c r="K28" s="18"/>
      <c r="L28" s="18"/>
      <c r="M28" s="18"/>
    </row>
    <row r="29" spans="1:13" x14ac:dyDescent="0.25">
      <c r="A29" t="s">
        <v>393</v>
      </c>
      <c r="B29" s="6" t="s">
        <v>394</v>
      </c>
      <c r="C29" s="7">
        <v>46081.961064814801</v>
      </c>
      <c r="D29" s="55" t="s">
        <v>190</v>
      </c>
      <c r="E29" s="17" t="s">
        <v>191</v>
      </c>
      <c r="F29" s="17" t="s">
        <v>192</v>
      </c>
      <c r="G29" s="17" t="s">
        <v>193</v>
      </c>
      <c r="H29" s="17" t="s">
        <v>194</v>
      </c>
      <c r="I29" s="17" t="s">
        <v>195</v>
      </c>
      <c r="J29" s="18" t="s">
        <v>82</v>
      </c>
      <c r="K29" s="18"/>
      <c r="L29" s="18"/>
      <c r="M29" s="18"/>
    </row>
    <row r="30" spans="1:13" x14ac:dyDescent="0.25">
      <c r="A30" t="s">
        <v>395</v>
      </c>
      <c r="B30" s="6" t="s">
        <v>396</v>
      </c>
      <c r="C30" s="7">
        <v>45991.3352199074</v>
      </c>
      <c r="D30" s="55" t="s">
        <v>225</v>
      </c>
      <c r="E30" s="17" t="s">
        <v>241</v>
      </c>
      <c r="F30" s="17" t="s">
        <v>242</v>
      </c>
      <c r="G30" s="17" t="s">
        <v>243</v>
      </c>
      <c r="H30" s="17" t="s">
        <v>244</v>
      </c>
      <c r="I30" s="17" t="s">
        <v>245</v>
      </c>
      <c r="J30" s="18" t="s">
        <v>246</v>
      </c>
      <c r="K30" s="18"/>
      <c r="L30" s="18"/>
      <c r="M30" s="18"/>
    </row>
    <row r="31" spans="1:13" x14ac:dyDescent="0.25">
      <c r="A31" t="s">
        <v>397</v>
      </c>
      <c r="B31" s="6" t="s">
        <v>398</v>
      </c>
      <c r="C31" s="7">
        <v>46081.96125</v>
      </c>
      <c r="D31" s="55" t="s">
        <v>399</v>
      </c>
      <c r="E31" s="17" t="s">
        <v>400</v>
      </c>
      <c r="F31" s="17" t="s">
        <v>401</v>
      </c>
      <c r="G31" s="17" t="s">
        <v>402</v>
      </c>
      <c r="H31" s="17" t="s">
        <v>403</v>
      </c>
      <c r="I31" s="17" t="s">
        <v>404</v>
      </c>
      <c r="J31" s="18" t="s">
        <v>405</v>
      </c>
      <c r="K31" s="18"/>
      <c r="L31" s="18"/>
      <c r="M31" s="18"/>
    </row>
    <row r="32" spans="1:13" x14ac:dyDescent="0.25">
      <c r="A32" t="s">
        <v>406</v>
      </c>
      <c r="B32" s="6" t="s">
        <v>407</v>
      </c>
      <c r="C32" s="7">
        <v>46081.961261574099</v>
      </c>
      <c r="D32" s="55" t="s">
        <v>78</v>
      </c>
      <c r="E32" s="17" t="s">
        <v>198</v>
      </c>
      <c r="F32" s="17" t="s">
        <v>107</v>
      </c>
      <c r="G32" s="17" t="s">
        <v>72</v>
      </c>
      <c r="H32" s="17" t="s">
        <v>70</v>
      </c>
      <c r="I32" s="17" t="s">
        <v>35</v>
      </c>
      <c r="J32" s="18" t="s">
        <v>199</v>
      </c>
      <c r="K32" s="18"/>
      <c r="L32" s="18"/>
      <c r="M32" s="18"/>
    </row>
    <row r="33" spans="1:13" x14ac:dyDescent="0.25">
      <c r="A33" t="s">
        <v>408</v>
      </c>
      <c r="B33" s="6" t="s">
        <v>409</v>
      </c>
      <c r="C33" s="7">
        <v>46081.961331018501</v>
      </c>
      <c r="D33" s="55" t="s">
        <v>410</v>
      </c>
      <c r="E33" s="17" t="s">
        <v>411</v>
      </c>
      <c r="F33" s="17" t="s">
        <v>412</v>
      </c>
      <c r="G33" s="17" t="s">
        <v>169</v>
      </c>
      <c r="H33" s="17" t="s">
        <v>413</v>
      </c>
      <c r="I33" s="17" t="s">
        <v>414</v>
      </c>
      <c r="J33" s="18" t="s">
        <v>415</v>
      </c>
      <c r="K33" s="18"/>
      <c r="L33" s="18"/>
      <c r="M33" s="18"/>
    </row>
    <row r="34" spans="1:13" x14ac:dyDescent="0.25">
      <c r="A34" t="s">
        <v>416</v>
      </c>
      <c r="B34" s="6" t="s">
        <v>417</v>
      </c>
      <c r="C34" s="7">
        <v>46081.9613425926</v>
      </c>
      <c r="D34" s="55" t="s">
        <v>418</v>
      </c>
      <c r="E34" s="17" t="s">
        <v>299</v>
      </c>
      <c r="F34" s="17" t="s">
        <v>300</v>
      </c>
      <c r="G34" s="17" t="s">
        <v>196</v>
      </c>
      <c r="H34" s="17" t="s">
        <v>301</v>
      </c>
      <c r="I34" s="17" t="s">
        <v>299</v>
      </c>
      <c r="J34" s="18" t="s">
        <v>302</v>
      </c>
      <c r="K34" s="18"/>
      <c r="L34" s="18"/>
      <c r="M34" s="18"/>
    </row>
    <row r="35" spans="1:13" x14ac:dyDescent="0.25">
      <c r="A35" t="s">
        <v>419</v>
      </c>
      <c r="B35" s="6" t="s">
        <v>420</v>
      </c>
      <c r="C35" s="7">
        <v>46081.961354166699</v>
      </c>
      <c r="D35" s="55" t="s">
        <v>200</v>
      </c>
      <c r="E35" s="17" t="s">
        <v>201</v>
      </c>
      <c r="F35" s="17" t="s">
        <v>83</v>
      </c>
      <c r="G35" s="17" t="s">
        <v>164</v>
      </c>
      <c r="H35" s="17" t="s">
        <v>84</v>
      </c>
      <c r="I35" s="17" t="s">
        <v>24</v>
      </c>
      <c r="J35" s="18" t="s">
        <v>85</v>
      </c>
      <c r="K35" s="18"/>
      <c r="L35" s="18"/>
      <c r="M35" s="18"/>
    </row>
    <row r="36" spans="1:13" x14ac:dyDescent="0.25">
      <c r="A36" t="s">
        <v>421</v>
      </c>
      <c r="B36" s="6" t="s">
        <v>422</v>
      </c>
      <c r="C36" s="7">
        <v>46081.961365740703</v>
      </c>
      <c r="D36" s="55" t="s">
        <v>247</v>
      </c>
      <c r="E36" s="17" t="s">
        <v>248</v>
      </c>
      <c r="F36" s="17" t="s">
        <v>249</v>
      </c>
      <c r="G36" s="17" t="s">
        <v>169</v>
      </c>
      <c r="H36" s="17" t="s">
        <v>250</v>
      </c>
      <c r="I36" s="17" t="s">
        <v>248</v>
      </c>
      <c r="J36" s="18" t="s">
        <v>251</v>
      </c>
      <c r="K36" s="18"/>
      <c r="L36" s="18"/>
      <c r="M36" s="18"/>
    </row>
    <row r="37" spans="1:13" x14ac:dyDescent="0.25">
      <c r="A37" t="s">
        <v>423</v>
      </c>
      <c r="B37" s="6" t="s">
        <v>424</v>
      </c>
      <c r="C37" s="7">
        <v>46081.961458333302</v>
      </c>
      <c r="D37" s="55" t="s">
        <v>72</v>
      </c>
      <c r="E37" s="17" t="s">
        <v>202</v>
      </c>
      <c r="F37" s="17" t="s">
        <v>203</v>
      </c>
      <c r="G37" s="17" t="s">
        <v>72</v>
      </c>
      <c r="H37" s="17" t="s">
        <v>62</v>
      </c>
      <c r="I37" s="17" t="s">
        <v>40</v>
      </c>
      <c r="J37" s="18" t="s">
        <v>63</v>
      </c>
      <c r="K37" s="18"/>
      <c r="L37" s="18"/>
      <c r="M37" s="18"/>
    </row>
    <row r="38" spans="1:13" x14ac:dyDescent="0.25">
      <c r="A38" t="s">
        <v>425</v>
      </c>
      <c r="B38" s="6" t="s">
        <v>426</v>
      </c>
      <c r="C38" s="7">
        <v>46081.961504629602</v>
      </c>
      <c r="D38" s="55" t="s">
        <v>144</v>
      </c>
      <c r="E38" s="17" t="s">
        <v>204</v>
      </c>
      <c r="F38" s="17" t="s">
        <v>205</v>
      </c>
      <c r="G38" s="17" t="s">
        <v>59</v>
      </c>
      <c r="H38" s="17" t="s">
        <v>141</v>
      </c>
      <c r="I38" s="17" t="s">
        <v>140</v>
      </c>
      <c r="J38" s="18" t="s">
        <v>142</v>
      </c>
      <c r="K38" s="18"/>
      <c r="L38" s="18"/>
      <c r="M38" s="18"/>
    </row>
    <row r="39" spans="1:13" x14ac:dyDescent="0.25">
      <c r="A39" t="s">
        <v>427</v>
      </c>
      <c r="B39" s="6" t="s">
        <v>428</v>
      </c>
      <c r="C39" s="7">
        <v>46081.961597222202</v>
      </c>
      <c r="D39" s="55" t="s">
        <v>206</v>
      </c>
      <c r="E39" s="17" t="s">
        <v>207</v>
      </c>
      <c r="F39" s="17" t="s">
        <v>86</v>
      </c>
      <c r="G39" s="17" t="s">
        <v>93</v>
      </c>
      <c r="H39" s="17" t="s">
        <v>87</v>
      </c>
      <c r="I39" s="17" t="s">
        <v>89</v>
      </c>
      <c r="J39" s="18" t="s">
        <v>88</v>
      </c>
      <c r="K39" s="18"/>
      <c r="L39" s="18"/>
      <c r="M39" s="18"/>
    </row>
    <row r="40" spans="1:13" x14ac:dyDescent="0.25">
      <c r="A40" t="s">
        <v>429</v>
      </c>
      <c r="B40" s="6" t="s">
        <v>430</v>
      </c>
      <c r="C40" s="7">
        <v>46081.961631944403</v>
      </c>
      <c r="D40" s="55" t="s">
        <v>431</v>
      </c>
      <c r="E40" s="17" t="s">
        <v>308</v>
      </c>
      <c r="F40" s="17" t="s">
        <v>309</v>
      </c>
      <c r="G40" s="17" t="s">
        <v>310</v>
      </c>
      <c r="H40" s="17" t="s">
        <v>311</v>
      </c>
      <c r="I40" s="17" t="s">
        <v>312</v>
      </c>
      <c r="J40" s="18" t="s">
        <v>313</v>
      </c>
      <c r="K40" s="18"/>
      <c r="L40" s="18"/>
      <c r="M40" s="18"/>
    </row>
    <row r="41" spans="1:13" x14ac:dyDescent="0.25">
      <c r="A41" t="s">
        <v>432</v>
      </c>
      <c r="B41" s="6" t="s">
        <v>433</v>
      </c>
      <c r="C41" s="7">
        <v>46081.961631944403</v>
      </c>
      <c r="D41" s="55" t="s">
        <v>434</v>
      </c>
      <c r="E41" s="17" t="s">
        <v>435</v>
      </c>
      <c r="F41" s="17" t="s">
        <v>436</v>
      </c>
      <c r="G41" s="17" t="s">
        <v>162</v>
      </c>
      <c r="H41" s="17" t="s">
        <v>437</v>
      </c>
      <c r="I41" s="21" t="s">
        <v>438</v>
      </c>
      <c r="J41" s="18" t="s">
        <v>439</v>
      </c>
      <c r="K41" s="18"/>
      <c r="L41" s="18"/>
      <c r="M41" s="18"/>
    </row>
    <row r="42" spans="1:13" x14ac:dyDescent="0.25">
      <c r="A42" t="s">
        <v>440</v>
      </c>
      <c r="B42" s="6" t="s">
        <v>441</v>
      </c>
      <c r="C42" s="7">
        <v>46081.961689814802</v>
      </c>
      <c r="D42" s="55" t="s">
        <v>136</v>
      </c>
      <c r="E42" s="17" t="s">
        <v>209</v>
      </c>
      <c r="F42" s="17" t="s">
        <v>115</v>
      </c>
      <c r="G42" s="17" t="s">
        <v>123</v>
      </c>
      <c r="H42" s="17" t="s">
        <v>116</v>
      </c>
      <c r="I42" s="17" t="s">
        <v>15</v>
      </c>
      <c r="J42" s="18" t="s">
        <v>114</v>
      </c>
      <c r="K42" s="18"/>
      <c r="L42" s="18"/>
      <c r="M42" s="18"/>
    </row>
    <row r="43" spans="1:13" x14ac:dyDescent="0.25">
      <c r="A43" t="s">
        <v>442</v>
      </c>
      <c r="B43" s="6" t="s">
        <v>443</v>
      </c>
      <c r="C43" s="7">
        <v>46081.9617013889</v>
      </c>
      <c r="D43" s="55" t="s">
        <v>444</v>
      </c>
      <c r="E43" s="17" t="s">
        <v>445</v>
      </c>
      <c r="F43" s="17" t="s">
        <v>446</v>
      </c>
      <c r="G43" s="17" t="s">
        <v>197</v>
      </c>
      <c r="H43" s="17" t="s">
        <v>447</v>
      </c>
      <c r="I43" s="17" t="s">
        <v>448</v>
      </c>
      <c r="J43" s="18" t="s">
        <v>449</v>
      </c>
      <c r="K43" s="18"/>
      <c r="L43" s="18"/>
      <c r="M43" s="18"/>
    </row>
    <row r="44" spans="1:13" x14ac:dyDescent="0.25">
      <c r="A44" t="s">
        <v>450</v>
      </c>
      <c r="B44" s="6" t="s">
        <v>451</v>
      </c>
      <c r="C44" s="7">
        <v>46081.961759259299</v>
      </c>
      <c r="D44" s="55" t="s">
        <v>104</v>
      </c>
      <c r="E44" s="17" t="s">
        <v>210</v>
      </c>
      <c r="F44" s="17" t="s">
        <v>90</v>
      </c>
      <c r="G44" s="17" t="s">
        <v>208</v>
      </c>
      <c r="H44" s="17" t="s">
        <v>91</v>
      </c>
      <c r="I44" s="17" t="s">
        <v>31</v>
      </c>
      <c r="J44" s="18" t="s">
        <v>92</v>
      </c>
      <c r="K44" s="18"/>
      <c r="L44" s="18"/>
      <c r="M44" s="18"/>
    </row>
    <row r="45" spans="1:13" x14ac:dyDescent="0.25">
      <c r="A45" t="s">
        <v>452</v>
      </c>
      <c r="B45" s="6" t="s">
        <v>453</v>
      </c>
      <c r="C45" s="7">
        <v>46081.961828703701</v>
      </c>
      <c r="D45" s="55" t="s">
        <v>76</v>
      </c>
      <c r="E45" s="17" t="s">
        <v>211</v>
      </c>
      <c r="F45" s="17" t="s">
        <v>212</v>
      </c>
      <c r="G45" s="17" t="s">
        <v>213</v>
      </c>
      <c r="H45" s="17" t="s">
        <v>214</v>
      </c>
      <c r="I45" s="17" t="s">
        <v>37</v>
      </c>
      <c r="J45" s="18" t="s">
        <v>215</v>
      </c>
      <c r="K45" s="18"/>
      <c r="L45" s="18"/>
      <c r="M45" s="18"/>
    </row>
    <row r="46" spans="1:13" x14ac:dyDescent="0.25">
      <c r="A46" t="s">
        <v>454</v>
      </c>
      <c r="B46" s="6" t="s">
        <v>455</v>
      </c>
      <c r="C46" s="7">
        <v>46081.9618402778</v>
      </c>
      <c r="D46" s="55" t="s">
        <v>77</v>
      </c>
      <c r="E46" s="17" t="s">
        <v>216</v>
      </c>
      <c r="F46" s="17" t="s">
        <v>105</v>
      </c>
      <c r="G46" s="17" t="s">
        <v>77</v>
      </c>
      <c r="H46" s="17" t="s">
        <v>68</v>
      </c>
      <c r="I46" s="17" t="s">
        <v>33</v>
      </c>
      <c r="J46" s="18" t="s">
        <v>69</v>
      </c>
      <c r="K46" s="18"/>
      <c r="L46" s="18"/>
      <c r="M46" s="18"/>
    </row>
    <row r="47" spans="1:13" x14ac:dyDescent="0.25">
      <c r="A47" t="s">
        <v>270</v>
      </c>
      <c r="B47" s="6" t="s">
        <v>456</v>
      </c>
      <c r="C47" s="7">
        <v>46081.961851851898</v>
      </c>
      <c r="D47" s="55" t="s">
        <v>271</v>
      </c>
      <c r="E47" s="17" t="s">
        <v>46</v>
      </c>
      <c r="F47" s="17" t="s">
        <v>272</v>
      </c>
      <c r="G47" s="17" t="s">
        <v>273</v>
      </c>
      <c r="H47" s="17" t="s">
        <v>457</v>
      </c>
      <c r="I47" s="17" t="s">
        <v>274</v>
      </c>
      <c r="J47" s="18" t="s">
        <v>275</v>
      </c>
      <c r="K47" s="18"/>
      <c r="L47" s="18"/>
      <c r="M47" s="18"/>
    </row>
    <row r="48" spans="1:13" x14ac:dyDescent="0.25">
      <c r="A48" t="s">
        <v>467</v>
      </c>
      <c r="B48" s="6" t="s">
        <v>468</v>
      </c>
      <c r="C48" s="7">
        <v>46081.962662037004</v>
      </c>
      <c r="D48" s="55" t="s">
        <v>258</v>
      </c>
      <c r="E48" s="17" t="s">
        <v>217</v>
      </c>
      <c r="F48" s="17" t="s">
        <v>218</v>
      </c>
      <c r="G48" s="17" t="s">
        <v>208</v>
      </c>
      <c r="H48" s="17" t="s">
        <v>219</v>
      </c>
      <c r="I48" s="17" t="s">
        <v>220</v>
      </c>
      <c r="J48" s="18" t="s">
        <v>513</v>
      </c>
      <c r="K48" s="18"/>
      <c r="L48" s="18"/>
      <c r="M48" s="18"/>
    </row>
    <row r="49" spans="1:13" x14ac:dyDescent="0.25">
      <c r="A49" t="s">
        <v>458</v>
      </c>
      <c r="B49" s="6" t="s">
        <v>459</v>
      </c>
      <c r="C49" s="7">
        <v>46079.364768518499</v>
      </c>
      <c r="D49" s="55" t="s">
        <v>252</v>
      </c>
      <c r="E49" s="17" t="s">
        <v>253</v>
      </c>
      <c r="F49" s="17" t="s">
        <v>254</v>
      </c>
      <c r="G49" s="17" t="s">
        <v>255</v>
      </c>
      <c r="H49" s="17" t="s">
        <v>256</v>
      </c>
      <c r="I49" s="17" t="s">
        <v>257</v>
      </c>
      <c r="J49" s="18" t="s">
        <v>563</v>
      </c>
      <c r="K49" s="18"/>
      <c r="L49" s="18"/>
      <c r="M49" s="18"/>
    </row>
    <row r="50" spans="1:13" x14ac:dyDescent="0.25">
      <c r="A50" t="s">
        <v>460</v>
      </c>
      <c r="B50" s="6" t="s">
        <v>461</v>
      </c>
      <c r="C50" s="7">
        <v>46081.9622453704</v>
      </c>
      <c r="D50" s="58" t="s">
        <v>462</v>
      </c>
      <c r="E50" s="17" t="s">
        <v>463</v>
      </c>
      <c r="F50" s="17" t="s">
        <v>464</v>
      </c>
      <c r="G50" s="17" t="s">
        <v>465</v>
      </c>
      <c r="H50" s="17" t="s">
        <v>466</v>
      </c>
      <c r="I50" s="17" t="s">
        <v>463</v>
      </c>
      <c r="J50" s="18"/>
      <c r="K50" s="18"/>
      <c r="L50" s="18"/>
      <c r="M50" s="18"/>
    </row>
    <row r="51" spans="1:13" x14ac:dyDescent="0.25">
      <c r="C51" s="51"/>
      <c r="D51" s="59" t="s">
        <v>556</v>
      </c>
      <c r="E51" s="52"/>
      <c r="F51" s="52" t="s">
        <v>564</v>
      </c>
      <c r="G51" s="52"/>
      <c r="H51" s="52" t="s">
        <v>565</v>
      </c>
      <c r="I51" s="52" t="s">
        <v>566</v>
      </c>
      <c r="J51" s="18" t="s">
        <v>567</v>
      </c>
      <c r="K51" s="22"/>
      <c r="L51" s="18"/>
      <c r="M51" s="18" t="s">
        <v>566</v>
      </c>
    </row>
    <row r="52" spans="1:13" x14ac:dyDescent="0.25">
      <c r="C52" s="51"/>
      <c r="D52" s="60" t="s">
        <v>32</v>
      </c>
      <c r="E52" s="52"/>
      <c r="F52" s="52"/>
      <c r="G52" s="52"/>
      <c r="H52" s="52" t="s">
        <v>568</v>
      </c>
      <c r="I52" s="52" t="s">
        <v>32</v>
      </c>
      <c r="J52" s="22" t="s">
        <v>569</v>
      </c>
      <c r="K52" s="22"/>
      <c r="L52" s="18"/>
      <c r="M52" s="18">
        <v>31389943</v>
      </c>
    </row>
    <row r="53" spans="1:13" x14ac:dyDescent="0.25">
      <c r="C53" s="51"/>
      <c r="D53" s="60" t="s">
        <v>530</v>
      </c>
      <c r="E53" s="53"/>
      <c r="F53" s="53"/>
      <c r="G53" s="53"/>
      <c r="H53" s="53" t="s">
        <v>570</v>
      </c>
      <c r="I53" s="52" t="s">
        <v>547</v>
      </c>
      <c r="J53" s="22" t="s">
        <v>571</v>
      </c>
      <c r="K53" s="22"/>
      <c r="L53" s="18"/>
      <c r="M53" s="18"/>
    </row>
    <row r="54" spans="1:13" x14ac:dyDescent="0.25">
      <c r="C54" s="51"/>
      <c r="D54" s="60" t="s">
        <v>263</v>
      </c>
      <c r="E54" s="53"/>
      <c r="F54" s="53"/>
      <c r="G54" s="53"/>
      <c r="H54" s="53" t="s">
        <v>572</v>
      </c>
      <c r="I54" s="52" t="s">
        <v>263</v>
      </c>
      <c r="J54" s="22" t="s">
        <v>573</v>
      </c>
      <c r="K54" s="22"/>
      <c r="L54" s="18"/>
      <c r="M54" s="18"/>
    </row>
    <row r="55" spans="1:13" x14ac:dyDescent="0.25">
      <c r="C55" s="51"/>
      <c r="D55" s="59" t="s">
        <v>533</v>
      </c>
      <c r="E55" s="53" t="s">
        <v>574</v>
      </c>
      <c r="F55" s="53"/>
      <c r="G55" s="53"/>
      <c r="H55" s="53" t="s">
        <v>575</v>
      </c>
      <c r="I55" s="52" t="s">
        <v>576</v>
      </c>
      <c r="J55" s="61" t="s">
        <v>577</v>
      </c>
      <c r="K55" s="22"/>
      <c r="L55" s="18"/>
      <c r="M55" s="18"/>
    </row>
    <row r="56" spans="1:13" x14ac:dyDescent="0.25">
      <c r="C56" s="51"/>
      <c r="D56" s="60" t="s">
        <v>536</v>
      </c>
      <c r="E56" s="53"/>
      <c r="F56" s="53"/>
      <c r="G56" s="53"/>
      <c r="H56" s="53" t="s">
        <v>578</v>
      </c>
      <c r="I56" s="52" t="s">
        <v>536</v>
      </c>
      <c r="J56" s="22" t="s">
        <v>579</v>
      </c>
      <c r="K56" s="22"/>
      <c r="L56" s="18"/>
      <c r="M56" s="18"/>
    </row>
    <row r="57" spans="1:13" x14ac:dyDescent="0.25">
      <c r="C57" s="51"/>
      <c r="D57" s="60" t="s">
        <v>537</v>
      </c>
      <c r="E57" s="53"/>
      <c r="F57" s="53"/>
      <c r="G57" s="53"/>
      <c r="H57" s="53" t="s">
        <v>580</v>
      </c>
      <c r="I57" s="52" t="s">
        <v>581</v>
      </c>
      <c r="J57" s="22" t="s">
        <v>582</v>
      </c>
      <c r="K57" s="22"/>
      <c r="L57" s="18"/>
      <c r="M57" s="18"/>
    </row>
    <row r="58" spans="1:13" x14ac:dyDescent="0.25">
      <c r="C58" s="51"/>
      <c r="D58" s="59" t="s">
        <v>535</v>
      </c>
      <c r="E58" s="52" t="s">
        <v>535</v>
      </c>
      <c r="F58" s="52"/>
      <c r="G58" s="52"/>
      <c r="H58" s="52" t="s">
        <v>583</v>
      </c>
      <c r="I58" s="52" t="s">
        <v>584</v>
      </c>
      <c r="J58" t="s">
        <v>585</v>
      </c>
      <c r="K58" s="22"/>
      <c r="L58" s="18"/>
      <c r="M58" s="18"/>
    </row>
    <row r="59" spans="1:13" x14ac:dyDescent="0.25">
      <c r="C59" s="51"/>
      <c r="D59" s="59" t="s">
        <v>264</v>
      </c>
      <c r="E59" s="52"/>
      <c r="F59" s="52" t="s">
        <v>586</v>
      </c>
      <c r="G59" s="52"/>
      <c r="H59" s="52" t="s">
        <v>587</v>
      </c>
      <c r="I59" s="52" t="s">
        <v>264</v>
      </c>
      <c r="J59" t="s">
        <v>588</v>
      </c>
      <c r="K59" s="22"/>
      <c r="L59" s="18"/>
      <c r="M59" s="18"/>
    </row>
    <row r="60" spans="1:13" x14ac:dyDescent="0.25">
      <c r="C60" s="51"/>
      <c r="D60" s="60" t="s">
        <v>260</v>
      </c>
      <c r="E60" s="52"/>
      <c r="F60" s="52"/>
      <c r="G60" s="52"/>
      <c r="H60" s="52" t="s">
        <v>589</v>
      </c>
      <c r="I60" s="52" t="s">
        <v>260</v>
      </c>
      <c r="J60" s="22" t="s">
        <v>590</v>
      </c>
      <c r="K60" s="22"/>
      <c r="L60" s="22"/>
      <c r="M60" s="22"/>
    </row>
    <row r="61" spans="1:13" x14ac:dyDescent="0.25">
      <c r="A61" t="s">
        <v>469</v>
      </c>
      <c r="B61" s="6" t="s">
        <v>470</v>
      </c>
      <c r="C61" s="7">
        <v>45763.878321759301</v>
      </c>
      <c r="D61" s="58" t="s">
        <v>591</v>
      </c>
      <c r="E61" s="17" t="s">
        <v>592</v>
      </c>
      <c r="F61" s="18">
        <v>505922299</v>
      </c>
      <c r="G61" s="17"/>
      <c r="H61" s="17" t="s">
        <v>593</v>
      </c>
      <c r="I61" s="17" t="s">
        <v>594</v>
      </c>
      <c r="J61" s="18" t="s">
        <v>595</v>
      </c>
      <c r="K61" s="18"/>
    </row>
    <row r="62" spans="1:13" x14ac:dyDescent="0.25">
      <c r="D62" s="55" t="s">
        <v>501</v>
      </c>
      <c r="E62" s="57"/>
      <c r="F62" s="57"/>
      <c r="G62" s="57"/>
      <c r="H62" s="62" t="s">
        <v>596</v>
      </c>
      <c r="I62" s="62" t="s">
        <v>501</v>
      </c>
      <c r="J62" s="4" t="s">
        <v>597</v>
      </c>
    </row>
    <row r="63" spans="1:13" x14ac:dyDescent="0.25">
      <c r="D63" s="55" t="s">
        <v>509</v>
      </c>
      <c r="E63" s="57"/>
      <c r="F63" s="57"/>
      <c r="G63" s="57"/>
      <c r="H63" s="62" t="s">
        <v>598</v>
      </c>
      <c r="I63" s="62" t="s">
        <v>599</v>
      </c>
      <c r="J63" s="4" t="s">
        <v>600</v>
      </c>
    </row>
    <row r="64" spans="1:13" x14ac:dyDescent="0.25">
      <c r="D64" s="55" t="s">
        <v>510</v>
      </c>
      <c r="E64" s="57"/>
      <c r="F64" s="57"/>
      <c r="G64" s="57"/>
      <c r="H64" s="62" t="s">
        <v>601</v>
      </c>
      <c r="I64" s="62" t="s">
        <v>602</v>
      </c>
      <c r="J64" s="4" t="s">
        <v>603</v>
      </c>
    </row>
    <row r="65" spans="1:14" x14ac:dyDescent="0.25">
      <c r="D65" s="58" t="s">
        <v>512</v>
      </c>
      <c r="E65" s="57"/>
      <c r="F65" s="57"/>
      <c r="G65" s="57"/>
      <c r="H65" s="62" t="s">
        <v>604</v>
      </c>
      <c r="I65" s="62" t="s">
        <v>605</v>
      </c>
      <c r="J65" s="63" t="s">
        <v>606</v>
      </c>
    </row>
    <row r="66" spans="1:14" x14ac:dyDescent="0.25">
      <c r="D66" s="55" t="s">
        <v>558</v>
      </c>
      <c r="E66" s="57"/>
      <c r="F66" s="57"/>
      <c r="G66" s="57"/>
      <c r="H66" s="62" t="s">
        <v>244</v>
      </c>
      <c r="I66" s="62" t="s">
        <v>245</v>
      </c>
      <c r="J66" s="4" t="s">
        <v>246</v>
      </c>
    </row>
    <row r="67" spans="1:14" x14ac:dyDescent="0.25">
      <c r="A67" t="s">
        <v>472</v>
      </c>
      <c r="B67" s="6" t="s">
        <v>473</v>
      </c>
      <c r="C67" s="7">
        <v>46081.411215277803</v>
      </c>
      <c r="D67" s="58" t="s">
        <v>474</v>
      </c>
      <c r="E67" s="17" t="s">
        <v>475</v>
      </c>
      <c r="F67" s="17" t="s">
        <v>607</v>
      </c>
      <c r="G67" s="17" t="s">
        <v>267</v>
      </c>
      <c r="H67" s="17" t="s">
        <v>608</v>
      </c>
      <c r="I67" s="17" t="s">
        <v>609</v>
      </c>
      <c r="J67" s="6" t="s">
        <v>610</v>
      </c>
      <c r="K67" s="22"/>
      <c r="L67" s="18"/>
      <c r="M67" s="18"/>
    </row>
    <row r="68" spans="1:14" x14ac:dyDescent="0.25">
      <c r="C68" s="51"/>
      <c r="D68" s="59" t="s">
        <v>554</v>
      </c>
      <c r="E68" s="52"/>
      <c r="F68" s="52" t="s">
        <v>611</v>
      </c>
      <c r="G68" s="52" t="s">
        <v>557</v>
      </c>
      <c r="H68" s="52" t="s">
        <v>612</v>
      </c>
      <c r="I68" s="52" t="s">
        <v>613</v>
      </c>
      <c r="J68" s="22" t="s">
        <v>614</v>
      </c>
      <c r="K68" s="22"/>
      <c r="L68" s="18"/>
      <c r="M68" s="18"/>
    </row>
    <row r="69" spans="1:14" x14ac:dyDescent="0.25">
      <c r="C69" s="51"/>
      <c r="D69" s="59" t="s">
        <v>515</v>
      </c>
      <c r="E69" s="53"/>
      <c r="F69" s="53" t="s">
        <v>615</v>
      </c>
      <c r="G69" s="53"/>
      <c r="H69" s="53" t="s">
        <v>616</v>
      </c>
      <c r="I69" s="52" t="s">
        <v>617</v>
      </c>
      <c r="J69" s="22" t="s">
        <v>618</v>
      </c>
      <c r="K69" s="22"/>
      <c r="L69" s="18"/>
      <c r="M69" s="18"/>
    </row>
    <row r="70" spans="1:14" x14ac:dyDescent="0.25">
      <c r="C70" s="51"/>
      <c r="D70" s="59" t="s">
        <v>629</v>
      </c>
      <c r="E70" s="53" t="s">
        <v>628</v>
      </c>
      <c r="F70" s="53" t="s">
        <v>627</v>
      </c>
      <c r="G70" s="53"/>
      <c r="H70" s="53" t="s">
        <v>626</v>
      </c>
      <c r="I70" s="65" t="s">
        <v>623</v>
      </c>
      <c r="J70" s="65" t="s">
        <v>625</v>
      </c>
      <c r="K70" s="22"/>
      <c r="L70" s="22"/>
      <c r="M70" s="22"/>
    </row>
    <row r="71" spans="1:14" x14ac:dyDescent="0.25">
      <c r="C71" s="51"/>
      <c r="D71" s="58" t="s">
        <v>542</v>
      </c>
      <c r="E71" s="64"/>
      <c r="F71" s="64"/>
      <c r="G71" s="64"/>
      <c r="H71" s="64" t="s">
        <v>619</v>
      </c>
      <c r="I71" s="18" t="s">
        <v>620</v>
      </c>
      <c r="J71" s="4" t="s">
        <v>621</v>
      </c>
      <c r="K71" s="18"/>
      <c r="L71" s="18"/>
      <c r="M71" s="18"/>
      <c r="N71" s="4"/>
    </row>
    <row r="74" spans="1:14" x14ac:dyDescent="0.25">
      <c r="H74" s="65" t="s">
        <v>622</v>
      </c>
    </row>
    <row r="75" spans="1:14" x14ac:dyDescent="0.25">
      <c r="H75" s="65" t="s">
        <v>623</v>
      </c>
    </row>
    <row r="76" spans="1:14" x14ac:dyDescent="0.25">
      <c r="H76" s="65" t="s">
        <v>624</v>
      </c>
    </row>
    <row r="77" spans="1:14" x14ac:dyDescent="0.25">
      <c r="H77" s="65" t="s">
        <v>625</v>
      </c>
    </row>
  </sheetData>
  <dataValidations xWindow="1021" yWindow="474" count="8">
    <dataValidation type="textLength" operator="lessThanOrEqual" allowBlank="1" showInputMessage="1" showErrorMessage="1" errorTitle="‏‏אירעה חריגה מהאורך" error="‏‏האורך של ערך זה חייב להיות קטן או שווה ל- 100 תווים." promptTitle="טקסט" prompt="אורך מרבי: 100 תווים." sqref="J2:J11 J60 J52:J57 J13:J50 J72:J1048576 J62:J66 J68:J69" xr:uid="{EA0033A8-B145-437C-A1A5-1D966873C9E3}">
      <formula1>100</formula1>
    </dataValidation>
    <dataValidation showInputMessage="1" showErrorMessage="1" error=" " promptTitle="בדיקת מידע (נדרש)" prompt="‏‏רשומת איש קשר ראשי זו חייבת להיות קיימת כבר ב- Microsoft Dynamics 365 או בקובץ מקור זה." sqref="D62:D64 E2:E1048576" xr:uid="{761B128E-96DB-44B8-8FDE-1ED73C9B7336}"/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D65:D1048576 D2:D61" xr:uid="{5562349B-6AE6-4099-98C0-421CFDD7746F}">
      <formula1>100</formula1>
    </dataValidation>
    <dataValidation type="textLength" operator="lessThanOrEqual" allowBlank="1" showInputMessage="1" showErrorMessage="1" errorTitle="‏‏אירעה חריגה מהאורך" error="‏‏האורך של ערך זה חייב להיות קטן או שווה ל- 255 תווים." promptTitle="טקסט" prompt="אורך מרבי: 255 תווים." sqref="I72:I1048576 J67 I2:I69" xr:uid="{5B20F602-F25B-42D7-BD87-27828B0137AB}">
      <formula1>255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255 תווים." promptTitle="טקסט (נדרש)" prompt="אורך מרבי: 255 תווים." sqref="H2:H1048576 I70:J70" xr:uid="{65B1BFFD-C541-4933-9AE1-4B504BF828CB}">
      <formula1>255</formula1>
    </dataValidation>
    <dataValidation showInputMessage="1" showErrorMessage="1" error=" " promptTitle="בדיקת מידע (נדרש)" prompt="‏‏רשומת יישוב זו חייבת להיות קיימת כבר ב- Microsoft Dynamics 365 או בקובץ מקור זה." sqref="G2:G1048576" xr:uid="{DD551569-1262-4640-B1B7-743921D2644A}"/>
    <dataValidation type="textLength" operator="lessThanOrEqual" showInputMessage="1" showErrorMessage="1" errorTitle="‏‏אירעה חריגה מהאורך" error="‏‏האורך של ערך זה חייב להיות קטן או שווה ל- 50 תווים." promptTitle="טקסט (נדרש)" prompt="אורך מרבי: 50 תווים." sqref="F62:F1048576 F2:F60" xr:uid="{C93C38E8-9658-41D2-BC73-FD233F2D3DEA}">
      <formula1>50</formula1>
    </dataValidation>
    <dataValidation type="date" operator="greaterThanOrEqual" allowBlank="1" showInputMessage="1" showErrorMessage="1" errorTitle="‏‏תאריך לא חוקי" error="(אל תשנה) Modified On חייב להיות בתבנית התאריך והשעה הנכונה." promptTitle="תאריך ושעה" prompt=" " sqref="C2:C1048576" xr:uid="{14170650-1965-4AA3-BB9C-14F6D6B3E258}">
      <formula1>1</formula1>
    </dataValidation>
  </dataValidations>
  <hyperlinks>
    <hyperlink ref="J12" r:id="rId1" display="mailto:kerem@elrom.biz" xr:uid="{95581461-5A73-42D8-997B-2AA30FEBAB42}"/>
    <hyperlink ref="J20" r:id="rId2" xr:uid="{1C3771DF-0ACB-4A4F-914F-FA9713730B9C}"/>
    <hyperlink ref="K27" r:id="rId3" display="mailto:gal@frescofarm.co.il" xr:uid="{CCE06D66-661F-4766-BD1A-838FABABD7C4}"/>
    <hyperlink ref="J65" r:id="rId4" xr:uid="{92A4E564-44CB-4CEF-99E5-0D460D55CBBC}"/>
    <hyperlink ref="J55" r:id="rId5" xr:uid="{CFC24FB2-27FF-42DC-BBF8-8E05BD845224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21C2D-2C09-4862-AD39-0EC72E25015F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customXml/itemProps2.xml><?xml version="1.0" encoding="utf-8"?>
<ds:datastoreItem xmlns:ds="http://schemas.openxmlformats.org/officeDocument/2006/customXml" ds:itemID="{79068047-6279-4EA3-9076-D66D6D2433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C0C4A3-974D-43A0-BC7C-E23D24C6B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מרכז חשבוניות פברואר 2026</vt:lpstr>
      <vt:lpstr>חצבה</vt:lpstr>
      <vt:lpstr>גולן</vt:lpstr>
      <vt:lpstr>תבור</vt:lpstr>
      <vt:lpstr>ניצנים</vt:lpstr>
      <vt:lpstr>אשכול</vt:lpstr>
      <vt:lpstr>ניצנה</vt:lpstr>
      <vt:lpstr>גליל עליון</vt:lpstr>
      <vt:lpstr>פרטי חקלאים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טלי  אוחיון</dc:creator>
  <cp:keywords/>
  <dc:description/>
  <cp:lastModifiedBy>דרור נדל</cp:lastModifiedBy>
  <cp:revision/>
  <cp:lastPrinted>2026-03-08T16:46:27Z</cp:lastPrinted>
  <dcterms:created xsi:type="dcterms:W3CDTF">2025-07-01T06:53:12Z</dcterms:created>
  <dcterms:modified xsi:type="dcterms:W3CDTF">2026-04-28T04:28:39Z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